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 MORA\Downloads\"/>
    </mc:Choice>
  </mc:AlternateContent>
  <xr:revisionPtr revIDLastSave="0" documentId="13_ncr:1_{D0C4DC0A-72BF-45D8-B7CF-2681F2272B5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erfil de Empresa" sheetId="1" r:id="rId1"/>
    <sheet name="Estado de Resultados" sheetId="2" r:id="rId2"/>
    <sheet name="Balance General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7" i="3" l="1"/>
  <c r="B38" i="3"/>
  <c r="B31" i="3"/>
  <c r="B20" i="3"/>
  <c r="B12" i="3"/>
  <c r="B10" i="2"/>
  <c r="B34" i="2" s="1"/>
  <c r="B38" i="2" s="1"/>
  <c r="B39" i="3" l="1"/>
  <c r="B22" i="3"/>
  <c r="B44" i="2"/>
  <c r="B40" i="2"/>
  <c r="B41" i="2" s="1"/>
  <c r="B36" i="2"/>
  <c r="B50" i="3" l="1"/>
  <c r="B51" i="3" s="1"/>
</calcChain>
</file>

<file path=xl/sharedStrings.xml><?xml version="1.0" encoding="utf-8"?>
<sst xmlns="http://schemas.openxmlformats.org/spreadsheetml/2006/main" count="269" uniqueCount="214">
  <si>
    <t>ZENITH GBV  —  Plantilla de Ingesta Financiera</t>
  </si>
  <si>
    <t xml:space="preserve">  IDENTIFICACIÓN DE LA EMPRESA</t>
  </si>
  <si>
    <t xml:space="preserve">  CONCEPTO</t>
  </si>
  <si>
    <t xml:space="preserve">  VALOR / MONTO</t>
  </si>
  <si>
    <t xml:space="preserve">  VARIABLE (sistema)</t>
  </si>
  <si>
    <t xml:space="preserve">  Nombre de la Empresa</t>
  </si>
  <si>
    <t>nombre_empresa</t>
  </si>
  <si>
    <t xml:space="preserve">  Período a Analizar (año)</t>
  </si>
  <si>
    <t>periodo_analizar</t>
  </si>
  <si>
    <t xml:space="preserve">  Número de Empleados</t>
  </si>
  <si>
    <t>numero_empleados</t>
  </si>
  <si>
    <t xml:space="preserve">  ℹ️  Incluye al propietario. Define el estrato: Micro ≤10 · Pequeña ≤50 · Mediana ≤250</t>
  </si>
  <si>
    <t xml:space="preserve">  Ventas Anuales Aproximadas (MXN)</t>
  </si>
  <si>
    <t>ventas_aprox</t>
  </si>
  <si>
    <t xml:space="preserve">  ℹ️  Dato orientativo para clasificar el tamaño de empresa. Puede coincidir con las ventas del E.R.</t>
  </si>
  <si>
    <t xml:space="preserve">  RÉGIMEN FISCAL</t>
  </si>
  <si>
    <t xml:space="preserve">  SELECCIONA DEL MENÚ ▼</t>
  </si>
  <si>
    <t xml:space="preserve">  Régimen Fiscal</t>
  </si>
  <si>
    <t>regimen</t>
  </si>
  <si>
    <t xml:space="preserve">  REFERENCIA DE REGÍMENES — Elige el que corresponde a la empresa</t>
  </si>
  <si>
    <t xml:space="preserve">  ISR_PM</t>
  </si>
  <si>
    <t>ISR Personas Morales (30%)</t>
  </si>
  <si>
    <t>Tasa fija 30% sobre utilidad fiscal. Aplica a S.A., S. de R.L., A.C., etc.</t>
  </si>
  <si>
    <t xml:space="preserve">  RESICO_0</t>
  </si>
  <si>
    <t>RESICO — Hasta $25,000 / mes (1.0%)</t>
  </si>
  <si>
    <t>Tasa fija 1.0% sobre ingresos cobrados del mes.</t>
  </si>
  <si>
    <t xml:space="preserve">  RESICO_1</t>
  </si>
  <si>
    <t>RESICO — $25,001 a $50,000 / mes (1.1%)</t>
  </si>
  <si>
    <t>Tasa fija 1.1% sobre ingresos cobrados del mes.</t>
  </si>
  <si>
    <t xml:space="preserve">  RESICO_2</t>
  </si>
  <si>
    <t>RESICO — $50,001 a $83,333 / mes (1.5%)</t>
  </si>
  <si>
    <t>Tasa fija 1.5% sobre ingresos cobrados del mes.</t>
  </si>
  <si>
    <t xml:space="preserve">  RESICO_3</t>
  </si>
  <si>
    <t>RESICO — $83,334 a $208,333 / mes (2.0%)</t>
  </si>
  <si>
    <t>Tasa fija 2.0% sobre ingresos cobrados del mes.</t>
  </si>
  <si>
    <t xml:space="preserve">  RESICO_4</t>
  </si>
  <si>
    <t>RESICO — $208,334 a $3,500,000 / mes (2.5%)</t>
  </si>
  <si>
    <t>Tasa fija 2.5% sobre ingresos cobrados del mes.</t>
  </si>
  <si>
    <t xml:space="preserve">  SECTOR / GIRO DEL NEGOCIO  —  Escribe el ID del sector en B27</t>
  </si>
  <si>
    <t xml:space="preserve">  ID / CÓDIGO</t>
  </si>
  <si>
    <t xml:space="preserve">  ID del Sector</t>
  </si>
  <si>
    <t>sector_id</t>
  </si>
  <si>
    <t xml:space="preserve">  ℹ️  Escribe solo el número de 2 dígitos según la tabla de abajo (ej: 01, 13, 19)</t>
  </si>
  <si>
    <t xml:space="preserve">  TABLA DE REFERENCIA — ID · Nombre del Sector · Tipo</t>
  </si>
  <si>
    <t xml:space="preserve">  01</t>
  </si>
  <si>
    <t>Abarrotes, Mini-súper y Tiendas de Conveniencia</t>
  </si>
  <si>
    <t>Comercio</t>
  </si>
  <si>
    <t xml:space="preserve">  02</t>
  </si>
  <si>
    <t>Ropa, Calzado y Accesorios</t>
  </si>
  <si>
    <t xml:space="preserve">  03</t>
  </si>
  <si>
    <t>Electrónica, Cómputo y Telefonía</t>
  </si>
  <si>
    <t xml:space="preserve">  04</t>
  </si>
  <si>
    <t>Ferretería, Tlapalería y Materiales de Construcción</t>
  </si>
  <si>
    <t xml:space="preserve">  05</t>
  </si>
  <si>
    <t>Farmacias y Productos de Salud</t>
  </si>
  <si>
    <t xml:space="preserve">  06</t>
  </si>
  <si>
    <t>Otros Comercios al Menudeo</t>
  </si>
  <si>
    <t xml:space="preserve">  07</t>
  </si>
  <si>
    <t>Alimentos y Bebidas Procesados</t>
  </si>
  <si>
    <t>Industria</t>
  </si>
  <si>
    <t xml:space="preserve">  08</t>
  </si>
  <si>
    <t>Textil y Confección</t>
  </si>
  <si>
    <t xml:space="preserve">  09</t>
  </si>
  <si>
    <t>Metalmecánica y Metalurgia</t>
  </si>
  <si>
    <t xml:space="preserve">  10</t>
  </si>
  <si>
    <t>Muebles y Productos de Madera</t>
  </si>
  <si>
    <t xml:space="preserve">  11</t>
  </si>
  <si>
    <t>Construcción</t>
  </si>
  <si>
    <t xml:space="preserve">  12</t>
  </si>
  <si>
    <t>Otras Manufacturas Ligeras</t>
  </si>
  <si>
    <t xml:space="preserve">  13</t>
  </si>
  <si>
    <t>Restaurantes, Cafeterías y Bares</t>
  </si>
  <si>
    <t>Servicios</t>
  </si>
  <si>
    <t xml:space="preserve">  14</t>
  </si>
  <si>
    <t>Hoteles y Alojamiento Turístico</t>
  </si>
  <si>
    <t xml:space="preserve">  15</t>
  </si>
  <si>
    <t>Servicios Profesionales (Contables, Legales, Consultoría)</t>
  </si>
  <si>
    <t xml:space="preserve">  16</t>
  </si>
  <si>
    <t>Salud Privada (Clínicas, Consultorios, Laboratorios)</t>
  </si>
  <si>
    <t xml:space="preserve">  17</t>
  </si>
  <si>
    <t>Educación Privada</t>
  </si>
  <si>
    <t xml:space="preserve">  18</t>
  </si>
  <si>
    <t>Transporte y Logística</t>
  </si>
  <si>
    <t xml:space="preserve">  19</t>
  </si>
  <si>
    <t>Belleza, Estética y Cuidado Personal</t>
  </si>
  <si>
    <t xml:space="preserve">  20</t>
  </si>
  <si>
    <t>Mantenimiento, Reparación y Talleres Automotrices</t>
  </si>
  <si>
    <t xml:space="preserve">  NORMALIZACIÓN — Solo para empresas con operación informal</t>
  </si>
  <si>
    <t xml:space="preserve">  ℹ️  Completa estos campos SOLO si la empresa maneja retiros, gastos personales o ventas sin facturar. Deja en 0 si no aplica.</t>
  </si>
  <si>
    <t xml:space="preserve">  Retiros mensuales del propietario (MXN/mes)</t>
  </si>
  <si>
    <t>retiros_propietario</t>
  </si>
  <si>
    <t xml:space="preserve">  ℹ️  Lo que el dueño se lleva de la caja mensualmente sin registrarlo como sueldo</t>
  </si>
  <si>
    <t xml:space="preserve">  Gastos personales pagados por la empresa (anual)</t>
  </si>
  <si>
    <t>gastos_personales</t>
  </si>
  <si>
    <t xml:space="preserve">  ℹ️  Gastos del dueño o su familia cargados a la empresa (combustible, viajes, etc.)</t>
  </si>
  <si>
    <t xml:space="preserve">  Ventas no facturadas estimadas (anual)</t>
  </si>
  <si>
    <t>ventas_no_facturadas</t>
  </si>
  <si>
    <t>⚠️  La deuda informal (créditos FinTech, tarjetas personales, préstamos de prestamistas) se captura directamente en la aplicación con el consultor — no va en este machote.</t>
  </si>
  <si>
    <t>ESTADO DE RESULTADOS</t>
  </si>
  <si>
    <t xml:space="preserve">  INGRESOS</t>
  </si>
  <si>
    <t xml:space="preserve">  Ventas Netas</t>
  </si>
  <si>
    <t>ventas</t>
  </si>
  <si>
    <t xml:space="preserve">  ℹ️  Ingresos totales del período. Incluye todas las ventas facturadas</t>
  </si>
  <si>
    <t xml:space="preserve">  Costo de Ventas (COGS)</t>
  </si>
  <si>
    <t>cogs</t>
  </si>
  <si>
    <t xml:space="preserve">  ℹ️  Comercio: costo de mercancía  ·  Manufactura: MP + MOD  ·  Servicios: insumos directos</t>
  </si>
  <si>
    <t xml:space="preserve">  ► Utilidad Bruta</t>
  </si>
  <si>
    <t>utilidad_bruta</t>
  </si>
  <si>
    <t xml:space="preserve">  GASTOS OPERATIVOS</t>
  </si>
  <si>
    <t xml:space="preserve">  Gastos de Administración</t>
  </si>
  <si>
    <t>gastos_adm</t>
  </si>
  <si>
    <t xml:space="preserve">  ℹ️  Sueldos admin, rentas, seguros, servicios. Excluye depreciación</t>
  </si>
  <si>
    <t xml:space="preserve">  Gastos Operativos de Ventas</t>
  </si>
  <si>
    <t>gastos_vta</t>
  </si>
  <si>
    <t xml:space="preserve">  ℹ️  Comisiones, publicidad, fletes de venta, atención a clientes</t>
  </si>
  <si>
    <t xml:space="preserve">  Depreciación y Amortización (D&amp;A)</t>
  </si>
  <si>
    <t>da</t>
  </si>
  <si>
    <t xml:space="preserve">  ℹ️  Depreciación de activos fijos + amortización de intangibles del período</t>
  </si>
  <si>
    <t xml:space="preserve">  OTROS RESULTADOS</t>
  </si>
  <si>
    <t xml:space="preserve">  Ingresos No Operativos</t>
  </si>
  <si>
    <t>ing_no_op</t>
  </si>
  <si>
    <t xml:space="preserve">  ℹ️  Intereses cobrados, rentas cobradas, utilidad cambiaria, otros ingresos fuera de operación</t>
  </si>
  <si>
    <t xml:space="preserve">  Gastos No Operativos</t>
  </si>
  <si>
    <t>gto_no_op</t>
  </si>
  <si>
    <t xml:space="preserve">  ℹ️  Pérdida cambiaria, castigos, otros gastos fuera de operación</t>
  </si>
  <si>
    <t xml:space="preserve">  Gastos Financieros (Intereses Pagados)</t>
  </si>
  <si>
    <t>gastos_financieros</t>
  </si>
  <si>
    <t xml:space="preserve">  ℹ️  Intereses de créditos bancarios, arrendamiento financiero, etc.</t>
  </si>
  <si>
    <t xml:space="preserve">  Sueldo Imputado del Propietario (anual)</t>
  </si>
  <si>
    <t>sueldo_imputado</t>
  </si>
  <si>
    <t xml:space="preserve">  ℹ️  Si el dueño no tiene sueldo formal: valor de mercado anual de su trabajo. Deja en 0 si ya incluye sueldo real</t>
  </si>
  <si>
    <t xml:space="preserve">  RESULTADOS CALCULADOS  —  No modificar</t>
  </si>
  <si>
    <t xml:space="preserve">  ► EBIT  (Utilidad Operativa)</t>
  </si>
  <si>
    <t>ebit</t>
  </si>
  <si>
    <t xml:space="preserve">  ℹ️  EBIT = UB − Gastos Adm − Gastos Vtas − D&amp;A + Ing. No Op − Gto No Op − Sueldo Imputado</t>
  </si>
  <si>
    <t xml:space="preserve">  ► EBITDA</t>
  </si>
  <si>
    <t>ebitda</t>
  </si>
  <si>
    <t xml:space="preserve">  ℹ️  EBITDA = EBIT + D&amp;A  ·  Aproximación del flujo operativo antes de impuestos</t>
  </si>
  <si>
    <t xml:space="preserve">  ► NOPAT  (Utilidad Operativa Neta post-ISR)</t>
  </si>
  <si>
    <t>nopat</t>
  </si>
  <si>
    <t xml:space="preserve">  ℹ️  NOPAT = EBIT × (1 − Tasa ISR)  ·  La tasa la determina el consultor en la app según el régimen</t>
  </si>
  <si>
    <t xml:space="preserve">  Utilidad Antes de ISR</t>
  </si>
  <si>
    <t>← calculado</t>
  </si>
  <si>
    <t xml:space="preserve">  ► Utilidad Neta</t>
  </si>
  <si>
    <t>utilidad_neta</t>
  </si>
  <si>
    <t xml:space="preserve">  ℹ️  Utilidad Neta = (EBIT − Intereses) × (1 − Tasa ISR)</t>
  </si>
  <si>
    <t xml:space="preserve">  VERIFICACIÓN: ¿EBIT negativo?</t>
  </si>
  <si>
    <t>ℹ️  La tasa de ISR para NOPAT y Utilidad Neta es calculada automáticamente por la aplicación según el régimen fiscal que capturaste en la Hoja 1. No necesitas ingresarla aquí.</t>
  </si>
  <si>
    <t>BALANCE GENERAL</t>
  </si>
  <si>
    <t xml:space="preserve">  ACTIVOS CIRCULANTES</t>
  </si>
  <si>
    <t xml:space="preserve">  Caja y Bancos</t>
  </si>
  <si>
    <t>caja_bancos</t>
  </si>
  <si>
    <t xml:space="preserve">  Cuentas por Cobrar (netas)</t>
  </si>
  <si>
    <t>cuentas_por_cobrar</t>
  </si>
  <si>
    <t xml:space="preserve">  ℹ️  Netas = ya descontada la estimación de cuentas incobrables</t>
  </si>
  <si>
    <t xml:space="preserve">  Inventarios</t>
  </si>
  <si>
    <t>inventarios</t>
  </si>
  <si>
    <t xml:space="preserve">  Otros Activos Circulantes</t>
  </si>
  <si>
    <t>otros_activos_corrientes</t>
  </si>
  <si>
    <t xml:space="preserve">  ℹ️  Anticipo a proveedores, impuestos a favor, pagos anticipados, etc.</t>
  </si>
  <si>
    <t xml:space="preserve">  TOTAL ACTIVOS CIRCULANTES</t>
  </si>
  <si>
    <t xml:space="preserve">  ACTIVOS NO CIRCULANTES</t>
  </si>
  <si>
    <t xml:space="preserve">  Activos Fijos Netos</t>
  </si>
  <si>
    <t>activos_fijos_netos</t>
  </si>
  <si>
    <t xml:space="preserve">  ℹ️  Terrenos + Edificios + Equipo + Maquinaria, menos depreciación acumulada</t>
  </si>
  <si>
    <t xml:space="preserve">  Otros Activos No Circulantes</t>
  </si>
  <si>
    <t>otros_activos_no_corrientes</t>
  </si>
  <si>
    <t xml:space="preserve">  ℹ️  Intangibles, depósitos en garantía, inversiones permanentes, etc.</t>
  </si>
  <si>
    <t xml:space="preserve">  TOTAL ACTIVOS NO CIRCULANTES</t>
  </si>
  <si>
    <t xml:space="preserve">  ▶ TOTAL ACTIVOS</t>
  </si>
  <si>
    <t>activo_total</t>
  </si>
  <si>
    <t xml:space="preserve">  PASIVOS CIRCULANTES</t>
  </si>
  <si>
    <t xml:space="preserve">  Cuentas por Pagar a Proveedores</t>
  </si>
  <si>
    <t>cuentas_por_pagar</t>
  </si>
  <si>
    <t xml:space="preserve">  Deuda Financiera a Corto Plazo</t>
  </si>
  <si>
    <t>deuda_financiera_cp</t>
  </si>
  <si>
    <t xml:space="preserve">  ℹ️  Créditos bancarios formales CP, arrendamientos financieros CP</t>
  </si>
  <si>
    <t xml:space="preserve">  Otros Pasivos Circulantes</t>
  </si>
  <si>
    <t>otros_pasivos_corrientes</t>
  </si>
  <si>
    <t xml:space="preserve">  ℹ️  ISR e IMSS por pagar, IVA por entregar, anticipos de clientes, etc.</t>
  </si>
  <si>
    <t xml:space="preserve">  TOTAL PASIVOS CIRCULANTES</t>
  </si>
  <si>
    <t xml:space="preserve">  PASIVOS NO CIRCULANTES</t>
  </si>
  <si>
    <t xml:space="preserve">  Deuda Financiera a Largo Plazo</t>
  </si>
  <si>
    <t>deuda_financiera_lp</t>
  </si>
  <si>
    <t xml:space="preserve">  ℹ️  Créditos bancarios LP, emisión de deuda, arrendamientos LP</t>
  </si>
  <si>
    <t xml:space="preserve">  Otros Pasivos No Circulantes</t>
  </si>
  <si>
    <t>otros_pasivos_nc</t>
  </si>
  <si>
    <t xml:space="preserve">  TOTAL PASIVOS NO CIRCULANTES</t>
  </si>
  <si>
    <t xml:space="preserve">  ▶ TOTAL PASIVOS</t>
  </si>
  <si>
    <t>pasivo_total</t>
  </si>
  <si>
    <t xml:space="preserve">  CAPITAL CONTABLE / PATRIMONIO</t>
  </si>
  <si>
    <t xml:space="preserve">  Capital Social</t>
  </si>
  <si>
    <t>capital_social</t>
  </si>
  <si>
    <t xml:space="preserve">  ℹ️  Aportaciones de socios o del propietario registradas formalmente</t>
  </si>
  <si>
    <t xml:space="preserve">  Utilidades Retenidas (Resultado Acumulado)</t>
  </si>
  <si>
    <t>utilidades_retenidas</t>
  </si>
  <si>
    <t xml:space="preserve">  ℹ️  Utilidades de ejercicios anteriores no distribuidas + resultado del ejercicio</t>
  </si>
  <si>
    <t xml:space="preserve">  ▶ TOTAL PATRIMONIO</t>
  </si>
  <si>
    <t>patrimonio</t>
  </si>
  <si>
    <t xml:space="preserve">  VALIDACIÓN DEL BALANCE</t>
  </si>
  <si>
    <t xml:space="preserve">  Total Activos  vs  (Pasivos + Patrimonio)</t>
  </si>
  <si>
    <t>Diferencia (debe ser 0)</t>
  </si>
  <si>
    <t xml:space="preserve">  RESULTADO DE VALIDACIÓN</t>
  </si>
  <si>
    <t xml:space="preserve">  ℹ️  Diferencias ≤ $1 se consideran ajuste de redondeo y se aceptan como válidas.</t>
  </si>
  <si>
    <t xml:space="preserve">Hoja 1 de 3: Perfil de Empresa  ·  Completa las celdas en AMARILLO </t>
  </si>
  <si>
    <t>Hoja 2 de 3  ·  Completa las celdas en AMARILLO</t>
  </si>
  <si>
    <t>Hoja 3 de 3  · Completa las celdas en AMARILLO ·  Al cierre del período  ·  El balance se valida automáticamente al final</t>
  </si>
  <si>
    <t>tasa_isr_manual</t>
  </si>
  <si>
    <t xml:space="preserve">  Tasa de ISR Personalizada (Solo PFAE %)</t>
  </si>
  <si>
    <t xml:space="preserve">  ℹ️  Ingresa como decimal (ej: 0.30 = 30%). Solo se aplica cuando el Régimen Fiscal es PFAE.</t>
  </si>
  <si>
    <t xml:space="preserve">  PFAE</t>
  </si>
  <si>
    <t>Personas Físicas con Actividades Empresariales</t>
  </si>
  <si>
    <t>Tasa variable. Ingresa tu tasa efectiva en la celda "Tasa de ISR Personalizada" de arriba.</t>
  </si>
  <si>
    <t>ISR_PM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</si>
</sst>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[Red]&quot;($&quot;#,##0\);\-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CC"/>
      <name val="Calibri"/>
      <family val="2"/>
    </font>
    <font>
      <i/>
      <sz val="8"/>
      <color rgb="FF607D8B"/>
      <name val="Calibri"/>
      <family val="2"/>
    </font>
    <font>
      <i/>
      <sz val="8"/>
      <color rgb="FF546E7A"/>
      <name val="Calibri"/>
      <family val="2"/>
    </font>
    <font>
      <b/>
      <sz val="9"/>
      <color rgb="FF0D1B2A"/>
      <name val="Calibri"/>
      <family val="2"/>
    </font>
    <font>
      <b/>
      <sz val="10"/>
      <color rgb="FF0D47A1"/>
      <name val="Calibri"/>
      <family val="2"/>
    </font>
    <font>
      <b/>
      <sz val="9"/>
      <color rgb="FF0D47A1"/>
      <name val="Calibri"/>
      <family val="2"/>
    </font>
    <font>
      <b/>
      <sz val="10"/>
      <color rgb="FF1B5E20"/>
      <name val="Calibri"/>
      <family val="2"/>
    </font>
    <font>
      <b/>
      <sz val="9"/>
      <color rgb="FF1B5E20"/>
      <name val="Calibri"/>
      <family val="2"/>
    </font>
    <font>
      <b/>
      <sz val="10"/>
      <color rgb="FF33691E"/>
      <name val="Calibri"/>
      <family val="2"/>
    </font>
    <font>
      <b/>
      <sz val="9"/>
      <color rgb="FF33691E"/>
      <name val="Calibri"/>
      <family val="2"/>
    </font>
    <font>
      <sz val="9"/>
      <color rgb="FF000000"/>
      <name val="Calibri"/>
      <family val="2"/>
    </font>
    <font>
      <i/>
      <sz val="9"/>
      <color rgb="FF546E7A"/>
      <name val="Calibri"/>
      <family val="2"/>
    </font>
    <font>
      <b/>
      <sz val="9"/>
      <color rgb="FF4A148C"/>
      <name val="Calibri"/>
      <family val="2"/>
    </font>
    <font>
      <i/>
      <sz val="8"/>
      <color rgb="FF7B5E00"/>
      <name val="Calibri"/>
      <family val="2"/>
    </font>
    <font>
      <b/>
      <sz val="10"/>
      <color rgb="FF1A237E"/>
      <name val="Calibri"/>
      <family val="2"/>
    </font>
    <font>
      <b/>
      <sz val="10"/>
      <color rgb="FF000000"/>
      <name val="Calibri"/>
      <family val="2"/>
    </font>
    <font>
      <sz val="10"/>
      <color rgb="FF1A237E"/>
      <name val="Calibri"/>
      <family val="2"/>
    </font>
    <font>
      <b/>
      <sz val="9"/>
      <color rgb="FF000000"/>
      <name val="Calibri"/>
      <family val="2"/>
    </font>
    <font>
      <i/>
      <sz val="8"/>
      <color rgb="FF1A237E"/>
      <name val="Calibri"/>
      <family val="2"/>
    </font>
    <font>
      <b/>
      <sz val="11"/>
      <color rgb="FF0D1B2A"/>
      <name val="Calibri"/>
      <family val="2"/>
    </font>
    <font>
      <b/>
      <sz val="11"/>
      <color rgb="FF000000"/>
      <name val="Calibri"/>
      <family val="2"/>
    </font>
    <font>
      <sz val="10"/>
      <color rgb="FF607D8B"/>
      <name val="Calibri"/>
      <family val="2"/>
    </font>
    <font>
      <i/>
      <sz val="9"/>
      <color rgb="FF5D4037"/>
      <name val="Calibri"/>
      <family val="2"/>
    </font>
    <font>
      <b/>
      <sz val="10"/>
      <color rgb="FFE65100"/>
      <name val="Calibri"/>
      <family val="2"/>
    </font>
    <font>
      <b/>
      <sz val="9"/>
      <color rgb="FFE65100"/>
      <name val="Calibri"/>
      <family val="2"/>
    </font>
    <font>
      <b/>
      <sz val="10"/>
      <color rgb="FF0000CC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E3A5F"/>
        <bgColor rgb="FF37474F"/>
      </patternFill>
    </fill>
    <fill>
      <patternFill patternType="solid">
        <fgColor rgb="FF37474F"/>
        <bgColor rgb="FF1E3A5F"/>
      </patternFill>
    </fill>
    <fill>
      <patternFill patternType="solid">
        <fgColor rgb="FFF9F9F9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E3F2FD"/>
        <bgColor rgb="FFECEFF1"/>
      </patternFill>
    </fill>
    <fill>
      <patternFill patternType="solid">
        <fgColor rgb="FFC9A84C"/>
        <bgColor rgb="FFFF9900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F5F5F5"/>
      </patternFill>
    </fill>
    <fill>
      <patternFill patternType="solid">
        <fgColor rgb="FFF3E5F5"/>
        <bgColor rgb="FFE8EAF6"/>
      </patternFill>
    </fill>
    <fill>
      <patternFill patternType="solid">
        <fgColor rgb="FFFFF3CD"/>
        <bgColor rgb="FFFFF9C4"/>
      </patternFill>
    </fill>
    <fill>
      <patternFill patternType="solid">
        <fgColor rgb="FFECEFF1"/>
        <bgColor rgb="FFE8EAF6"/>
      </patternFill>
    </fill>
    <fill>
      <patternFill patternType="solid">
        <fgColor rgb="FFFFF9C4"/>
        <bgColor rgb="FFFFF3CD"/>
      </patternFill>
    </fill>
    <fill>
      <patternFill patternType="solid">
        <fgColor rgb="FFE8EAF6"/>
        <bgColor rgb="FFECEFF1"/>
      </patternFill>
    </fill>
    <fill>
      <patternFill patternType="solid">
        <fgColor rgb="FFFFF8DC"/>
        <bgColor rgb="FFFFFDE7"/>
      </patternFill>
    </fill>
    <fill>
      <patternFill patternType="solid">
        <fgColor rgb="FFF0F4FF"/>
        <bgColor rgb="FFF5F5F5"/>
      </patternFill>
    </fill>
    <fill>
      <patternFill patternType="solid">
        <fgColor rgb="FFFFFF5D"/>
        <bgColor rgb="FFFFF8DC"/>
      </patternFill>
    </fill>
    <fill>
      <patternFill patternType="solid">
        <fgColor rgb="FFFFFF5D"/>
        <bgColor rgb="FFFFF9C4"/>
      </patternFill>
    </fill>
    <fill>
      <patternFill patternType="solid">
        <fgColor rgb="FFFFF8E1"/>
        <bgColor rgb="FFFFF8DC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left" vertical="center"/>
    </xf>
    <xf numFmtId="164" fontId="21" fillId="13" borderId="1" xfId="0" applyNumberFormat="1" applyFont="1" applyFill="1" applyBorder="1" applyAlignment="1">
      <alignment horizontal="right" vertical="center"/>
    </xf>
    <xf numFmtId="0" fontId="22" fillId="13" borderId="1" xfId="0" applyFont="1" applyFill="1" applyBorder="1" applyAlignment="1">
      <alignment horizontal="left" vertical="center"/>
    </xf>
    <xf numFmtId="164" fontId="5" fillId="13" borderId="1" xfId="0" applyNumberFormat="1" applyFont="1" applyFill="1" applyBorder="1" applyAlignment="1">
      <alignment horizontal="right" vertical="center"/>
    </xf>
    <xf numFmtId="0" fontId="9" fillId="14" borderId="1" xfId="0" applyFont="1" applyFill="1" applyBorder="1"/>
    <xf numFmtId="0" fontId="23" fillId="14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5" fillId="16" borderId="1" xfId="0" applyFont="1" applyFill="1" applyBorder="1" applyAlignment="1">
      <alignment horizontal="left" vertical="center"/>
    </xf>
    <xf numFmtId="164" fontId="25" fillId="1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/>
    <xf numFmtId="0" fontId="5" fillId="13" borderId="1" xfId="0" applyFont="1" applyFill="1" applyBorder="1" applyAlignment="1">
      <alignment horizontal="left" vertical="center"/>
    </xf>
    <xf numFmtId="0" fontId="26" fillId="17" borderId="1" xfId="0" applyFont="1" applyFill="1" applyBorder="1" applyAlignment="1">
      <alignment horizontal="left" vertical="center"/>
    </xf>
    <xf numFmtId="0" fontId="26" fillId="17" borderId="1" xfId="0" applyFont="1" applyFill="1" applyBorder="1" applyAlignment="1">
      <alignment horizontal="center" vertical="center"/>
    </xf>
    <xf numFmtId="49" fontId="6" fillId="18" borderId="1" xfId="0" applyNumberFormat="1" applyFont="1" applyFill="1" applyBorder="1" applyAlignment="1" applyProtection="1">
      <alignment horizontal="right" vertical="center"/>
      <protection locked="0"/>
    </xf>
    <xf numFmtId="1" fontId="6" fillId="18" borderId="1" xfId="0" applyNumberFormat="1" applyFont="1" applyFill="1" applyBorder="1" applyAlignment="1" applyProtection="1">
      <alignment horizontal="right" vertical="center"/>
      <protection locked="0"/>
    </xf>
    <xf numFmtId="3" fontId="6" fillId="18" borderId="1" xfId="0" applyNumberFormat="1" applyFont="1" applyFill="1" applyBorder="1" applyAlignment="1" applyProtection="1">
      <alignment horizontal="right" vertical="center"/>
      <protection locked="0"/>
    </xf>
    <xf numFmtId="164" fontId="6" fillId="18" borderId="1" xfId="0" applyNumberFormat="1" applyFont="1" applyFill="1" applyBorder="1" applyAlignment="1" applyProtection="1">
      <alignment horizontal="right" vertical="center"/>
      <protection locked="0"/>
    </xf>
    <xf numFmtId="164" fontId="0" fillId="0" borderId="0" xfId="0" applyNumberFormat="1"/>
    <xf numFmtId="0" fontId="27" fillId="6" borderId="0" xfId="0" applyFont="1" applyFill="1" applyAlignment="1">
      <alignment horizontal="left" vertical="center" wrapText="1"/>
    </xf>
    <xf numFmtId="10" fontId="6" fillId="19" borderId="0" xfId="0" applyNumberFormat="1" applyFont="1" applyFill="1" applyAlignment="1">
      <alignment horizontal="right" vertical="center" wrapText="1"/>
    </xf>
    <xf numFmtId="0" fontId="5" fillId="5" borderId="0" xfId="0" applyFont="1" applyFill="1" applyAlignment="1">
      <alignment horizontal="left" vertical="center" wrapText="1"/>
    </xf>
    <xf numFmtId="0" fontId="29" fillId="10" borderId="1" xfId="0" applyFont="1" applyFill="1" applyBorder="1" applyAlignment="1">
      <alignment horizontal="left" vertical="center"/>
    </xf>
    <xf numFmtId="0" fontId="30" fillId="10" borderId="1" xfId="0" applyFont="1" applyFill="1" applyBorder="1" applyAlignment="1">
      <alignment horizontal="left" vertical="center"/>
    </xf>
    <xf numFmtId="49" fontId="31" fillId="19" borderId="1" xfId="0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9" fillId="8" borderId="1" xfId="0" applyFont="1" applyFill="1" applyBorder="1"/>
    <xf numFmtId="0" fontId="9" fillId="7" borderId="0" xfId="0" applyFont="1" applyFill="1" applyAlignment="1">
      <alignment horizontal="left" vertical="center"/>
    </xf>
    <xf numFmtId="0" fontId="0" fillId="8" borderId="1" xfId="0" applyFill="1" applyBorder="1"/>
    <xf numFmtId="0" fontId="28" fillId="20" borderId="0" xfId="0" applyFont="1" applyFill="1" applyAlignment="1">
      <alignment horizontal="left" vertical="center" wrapText="1"/>
    </xf>
    <xf numFmtId="0" fontId="0" fillId="0" borderId="0" xfId="0"/>
    <xf numFmtId="0" fontId="19" fillId="12" borderId="2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8DC"/>
      <rgbColor rgb="FFFF00FF"/>
      <rgbColor rgb="FF00FFFF"/>
      <rgbColor rgb="FF800000"/>
      <rgbColor rgb="FF1B5E20"/>
      <rgbColor rgb="FF000080"/>
      <rgbColor rgb="FF7B5E00"/>
      <rgbColor rgb="FF800080"/>
      <rgbColor rgb="FF008080"/>
      <rgbColor rgb="FFB0BEC5"/>
      <rgbColor rgb="FF607D8B"/>
      <rgbColor rgb="FF9999FF"/>
      <rgbColor rgb="FF993366"/>
      <rgbColor rgb="FFFFF9C4"/>
      <rgbColor rgb="FFE3F2FD"/>
      <rgbColor rgb="FF4A148C"/>
      <rgbColor rgb="FFFF8080"/>
      <rgbColor rgb="FF0D47A1"/>
      <rgbColor rgb="FFE8EAF6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FF3CD"/>
      <rgbColor rgb="FFECEFF1"/>
      <rgbColor rgb="FFF5F5F5"/>
      <rgbColor rgb="FFF0F4FF"/>
      <rgbColor rgb="FFF3E5F5"/>
      <rgbColor rgb="FF3366FF"/>
      <rgbColor rgb="FF33CCCC"/>
      <rgbColor rgb="FF99CC00"/>
      <rgbColor rgb="FFF9F9F9"/>
      <rgbColor rgb="FFFF9900"/>
      <rgbColor rgb="FFFF6600"/>
      <rgbColor rgb="FF546E7A"/>
      <rgbColor rgb="FFC9A84C"/>
      <rgbColor rgb="FF1E3A5F"/>
      <rgbColor rgb="FF339966"/>
      <rgbColor rgb="FF0D1B2A"/>
      <rgbColor rgb="FF33691E"/>
      <rgbColor rgb="FF993300"/>
      <rgbColor rgb="FF993366"/>
      <rgbColor rgb="FF1A237E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5100"/>
      <color rgb="FFFFF3E0"/>
      <color rgb="FFFFFF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showGridLines="0" tabSelected="1" zoomScaleNormal="100" workbookViewId="0">
      <selection activeCell="B6" sqref="B6"/>
    </sheetView>
  </sheetViews>
  <sheetFormatPr baseColWidth="10" defaultColWidth="8.6640625" defaultRowHeight="14.4" x14ac:dyDescent="0.3"/>
  <cols>
    <col min="1" max="1" width="41.21875" bestFit="1" customWidth="1"/>
    <col min="2" max="2" width="40" bestFit="1" customWidth="1"/>
    <col min="3" max="3" width="28" customWidth="1"/>
  </cols>
  <sheetData>
    <row r="1" spans="1:3" ht="31.5" customHeight="1" x14ac:dyDescent="0.3">
      <c r="A1" s="46" t="s">
        <v>0</v>
      </c>
      <c r="B1" s="46"/>
      <c r="C1" s="46"/>
    </row>
    <row r="2" spans="1:3" ht="18" customHeight="1" x14ac:dyDescent="0.3">
      <c r="A2" s="47" t="s">
        <v>204</v>
      </c>
      <c r="B2" s="47"/>
      <c r="C2" s="47"/>
    </row>
    <row r="3" spans="1:3" ht="6" customHeight="1" x14ac:dyDescent="0.3"/>
    <row r="4" spans="1:3" ht="19.5" customHeight="1" x14ac:dyDescent="0.3">
      <c r="A4" s="48" t="s">
        <v>1</v>
      </c>
      <c r="B4" s="48"/>
      <c r="C4" s="48"/>
    </row>
    <row r="5" spans="1:3" ht="19.5" customHeight="1" x14ac:dyDescent="0.3">
      <c r="A5" s="1" t="s">
        <v>2</v>
      </c>
      <c r="B5" s="1" t="s">
        <v>3</v>
      </c>
      <c r="C5" s="1" t="s">
        <v>4</v>
      </c>
    </row>
    <row r="6" spans="1:3" ht="16.5" customHeight="1" x14ac:dyDescent="0.3">
      <c r="A6" s="2" t="s">
        <v>5</v>
      </c>
      <c r="B6" s="35"/>
      <c r="C6" s="3" t="s">
        <v>6</v>
      </c>
    </row>
    <row r="7" spans="1:3" ht="16.5" customHeight="1" x14ac:dyDescent="0.3">
      <c r="A7" s="2" t="s">
        <v>7</v>
      </c>
      <c r="B7" s="36"/>
      <c r="C7" s="3" t="s">
        <v>8</v>
      </c>
    </row>
    <row r="8" spans="1:3" ht="16.5" customHeight="1" x14ac:dyDescent="0.3">
      <c r="A8" s="2" t="s">
        <v>9</v>
      </c>
      <c r="B8" s="37"/>
      <c r="C8" s="3" t="s">
        <v>10</v>
      </c>
    </row>
    <row r="9" spans="1:3" ht="13.5" customHeight="1" x14ac:dyDescent="0.3">
      <c r="A9" s="49" t="s">
        <v>11</v>
      </c>
      <c r="B9" s="49"/>
      <c r="C9" s="49"/>
    </row>
    <row r="10" spans="1:3" ht="16.5" customHeight="1" x14ac:dyDescent="0.3">
      <c r="A10" s="2" t="s">
        <v>12</v>
      </c>
      <c r="B10" s="38"/>
      <c r="C10" s="3" t="s">
        <v>13</v>
      </c>
    </row>
    <row r="11" spans="1:3" ht="13.5" customHeight="1" x14ac:dyDescent="0.3">
      <c r="A11" s="49" t="s">
        <v>14</v>
      </c>
      <c r="B11" s="49"/>
      <c r="C11" s="49"/>
    </row>
    <row r="12" spans="1:3" ht="6" customHeight="1" x14ac:dyDescent="0.3"/>
    <row r="13" spans="1:3" ht="19.5" customHeight="1" x14ac:dyDescent="0.3">
      <c r="A13" s="48" t="s">
        <v>15</v>
      </c>
      <c r="B13" s="48"/>
      <c r="C13" s="48"/>
    </row>
    <row r="14" spans="1:3" ht="19.5" customHeight="1" x14ac:dyDescent="0.3">
      <c r="A14" s="1" t="s">
        <v>2</v>
      </c>
      <c r="B14" s="1" t="s">
        <v>16</v>
      </c>
      <c r="C14" s="1" t="s">
        <v>4</v>
      </c>
    </row>
    <row r="15" spans="1:3" ht="16.5" customHeight="1" x14ac:dyDescent="0.3">
      <c r="A15" s="2" t="s">
        <v>17</v>
      </c>
      <c r="B15" s="45" t="s">
        <v>213</v>
      </c>
      <c r="C15" s="3" t="s">
        <v>18</v>
      </c>
    </row>
    <row r="16" spans="1:3" ht="16.5" customHeight="1" x14ac:dyDescent="0.3">
      <c r="A16" s="42" t="s">
        <v>208</v>
      </c>
      <c r="B16" s="41"/>
      <c r="C16" s="40" t="s">
        <v>207</v>
      </c>
    </row>
    <row r="17" spans="1:3" ht="16.5" customHeight="1" x14ac:dyDescent="0.3">
      <c r="A17" s="53" t="s">
        <v>209</v>
      </c>
      <c r="B17" s="53"/>
      <c r="C17" s="53"/>
    </row>
    <row r="19" spans="1:3" ht="15.75" customHeight="1" x14ac:dyDescent="0.3">
      <c r="A19" s="50" t="s">
        <v>19</v>
      </c>
      <c r="B19" s="50"/>
      <c r="C19" s="50"/>
    </row>
    <row r="20" spans="1:3" ht="21.75" customHeight="1" x14ac:dyDescent="0.3">
      <c r="A20" s="4" t="s">
        <v>20</v>
      </c>
      <c r="B20" s="5" t="s">
        <v>21</v>
      </c>
      <c r="C20" s="6" t="s">
        <v>22</v>
      </c>
    </row>
    <row r="21" spans="1:3" ht="21.75" customHeight="1" x14ac:dyDescent="0.3">
      <c r="A21" s="7" t="s">
        <v>23</v>
      </c>
      <c r="B21" s="8" t="s">
        <v>24</v>
      </c>
      <c r="C21" s="9" t="s">
        <v>25</v>
      </c>
    </row>
    <row r="22" spans="1:3" ht="21.75" customHeight="1" x14ac:dyDescent="0.3">
      <c r="A22" s="7" t="s">
        <v>26</v>
      </c>
      <c r="B22" s="8" t="s">
        <v>27</v>
      </c>
      <c r="C22" s="9" t="s">
        <v>28</v>
      </c>
    </row>
    <row r="23" spans="1:3" ht="21.75" customHeight="1" x14ac:dyDescent="0.3">
      <c r="A23" s="7" t="s">
        <v>29</v>
      </c>
      <c r="B23" s="8" t="s">
        <v>30</v>
      </c>
      <c r="C23" s="9" t="s">
        <v>31</v>
      </c>
    </row>
    <row r="24" spans="1:3" ht="21.75" customHeight="1" x14ac:dyDescent="0.3">
      <c r="A24" s="10" t="s">
        <v>32</v>
      </c>
      <c r="B24" s="11" t="s">
        <v>33</v>
      </c>
      <c r="C24" s="12" t="s">
        <v>34</v>
      </c>
    </row>
    <row r="25" spans="1:3" ht="21.75" customHeight="1" x14ac:dyDescent="0.3">
      <c r="A25" s="10" t="s">
        <v>35</v>
      </c>
      <c r="B25" s="11" t="s">
        <v>36</v>
      </c>
      <c r="C25" s="12" t="s">
        <v>37</v>
      </c>
    </row>
    <row r="26" spans="1:3" ht="18" customHeight="1" x14ac:dyDescent="0.3">
      <c r="A26" s="43" t="s">
        <v>210</v>
      </c>
      <c r="B26" s="44" t="s">
        <v>211</v>
      </c>
      <c r="C26" s="12" t="s">
        <v>212</v>
      </c>
    </row>
    <row r="27" spans="1:3" ht="6" customHeight="1" x14ac:dyDescent="0.3"/>
    <row r="28" spans="1:3" ht="19.5" customHeight="1" x14ac:dyDescent="0.3">
      <c r="A28" s="48" t="s">
        <v>38</v>
      </c>
      <c r="B28" s="48"/>
      <c r="C28" s="48"/>
    </row>
    <row r="29" spans="1:3" ht="19.5" customHeight="1" x14ac:dyDescent="0.3">
      <c r="A29" s="1" t="s">
        <v>2</v>
      </c>
      <c r="B29" s="1" t="s">
        <v>39</v>
      </c>
      <c r="C29" s="1" t="s">
        <v>4</v>
      </c>
    </row>
    <row r="30" spans="1:3" ht="16.5" customHeight="1" x14ac:dyDescent="0.3">
      <c r="A30" s="2" t="s">
        <v>40</v>
      </c>
      <c r="B30" s="35"/>
      <c r="C30" s="3" t="s">
        <v>41</v>
      </c>
    </row>
    <row r="31" spans="1:3" ht="13.5" customHeight="1" x14ac:dyDescent="0.3">
      <c r="A31" s="51" t="s">
        <v>42</v>
      </c>
      <c r="B31" s="51"/>
      <c r="C31" s="51"/>
    </row>
    <row r="32" spans="1:3" ht="6" customHeight="1" x14ac:dyDescent="0.3"/>
    <row r="33" spans="1:3" ht="15.75" customHeight="1" x14ac:dyDescent="0.3">
      <c r="A33" s="52" t="s">
        <v>43</v>
      </c>
      <c r="B33" s="52"/>
      <c r="C33" s="52"/>
    </row>
    <row r="34" spans="1:3" ht="15" customHeight="1" x14ac:dyDescent="0.3">
      <c r="A34" s="13" t="s">
        <v>44</v>
      </c>
      <c r="B34" s="14" t="s">
        <v>45</v>
      </c>
      <c r="C34" s="15" t="s">
        <v>46</v>
      </c>
    </row>
    <row r="35" spans="1:3" ht="15" customHeight="1" x14ac:dyDescent="0.3">
      <c r="A35" s="13" t="s">
        <v>47</v>
      </c>
      <c r="B35" s="14" t="s">
        <v>48</v>
      </c>
      <c r="C35" s="15" t="s">
        <v>46</v>
      </c>
    </row>
    <row r="36" spans="1:3" ht="15" customHeight="1" x14ac:dyDescent="0.3">
      <c r="A36" s="13" t="s">
        <v>49</v>
      </c>
      <c r="B36" s="14" t="s">
        <v>50</v>
      </c>
      <c r="C36" s="15" t="s">
        <v>46</v>
      </c>
    </row>
    <row r="37" spans="1:3" ht="15" customHeight="1" x14ac:dyDescent="0.3">
      <c r="A37" s="13" t="s">
        <v>51</v>
      </c>
      <c r="B37" s="14" t="s">
        <v>52</v>
      </c>
      <c r="C37" s="15" t="s">
        <v>46</v>
      </c>
    </row>
    <row r="38" spans="1:3" ht="15" customHeight="1" x14ac:dyDescent="0.3">
      <c r="A38" s="13" t="s">
        <v>53</v>
      </c>
      <c r="B38" s="14" t="s">
        <v>54</v>
      </c>
      <c r="C38" s="15" t="s">
        <v>46</v>
      </c>
    </row>
    <row r="39" spans="1:3" ht="15" customHeight="1" x14ac:dyDescent="0.3">
      <c r="A39" s="13" t="s">
        <v>55</v>
      </c>
      <c r="B39" s="14" t="s">
        <v>56</v>
      </c>
      <c r="C39" s="15" t="s">
        <v>46</v>
      </c>
    </row>
    <row r="40" spans="1:3" ht="15" customHeight="1" x14ac:dyDescent="0.3">
      <c r="A40" s="16" t="s">
        <v>57</v>
      </c>
      <c r="B40" s="17" t="s">
        <v>58</v>
      </c>
      <c r="C40" s="18" t="s">
        <v>59</v>
      </c>
    </row>
    <row r="41" spans="1:3" ht="15" customHeight="1" x14ac:dyDescent="0.3">
      <c r="A41" s="16" t="s">
        <v>60</v>
      </c>
      <c r="B41" s="17" t="s">
        <v>61</v>
      </c>
      <c r="C41" s="18" t="s">
        <v>59</v>
      </c>
    </row>
    <row r="42" spans="1:3" ht="15" customHeight="1" x14ac:dyDescent="0.3">
      <c r="A42" s="16" t="s">
        <v>62</v>
      </c>
      <c r="B42" s="17" t="s">
        <v>63</v>
      </c>
      <c r="C42" s="18" t="s">
        <v>59</v>
      </c>
    </row>
    <row r="43" spans="1:3" ht="15" customHeight="1" x14ac:dyDescent="0.3">
      <c r="A43" s="16" t="s">
        <v>64</v>
      </c>
      <c r="B43" s="17" t="s">
        <v>65</v>
      </c>
      <c r="C43" s="18" t="s">
        <v>59</v>
      </c>
    </row>
    <row r="44" spans="1:3" ht="15" customHeight="1" x14ac:dyDescent="0.3">
      <c r="A44" s="16" t="s">
        <v>66</v>
      </c>
      <c r="B44" s="17" t="s">
        <v>67</v>
      </c>
      <c r="C44" s="18" t="s">
        <v>59</v>
      </c>
    </row>
    <row r="45" spans="1:3" ht="15" customHeight="1" x14ac:dyDescent="0.3">
      <c r="A45" s="16" t="s">
        <v>68</v>
      </c>
      <c r="B45" s="17" t="s">
        <v>69</v>
      </c>
      <c r="C45" s="18" t="s">
        <v>59</v>
      </c>
    </row>
    <row r="46" spans="1:3" ht="15" customHeight="1" x14ac:dyDescent="0.3">
      <c r="A46" s="19" t="s">
        <v>70</v>
      </c>
      <c r="B46" s="20" t="s">
        <v>71</v>
      </c>
      <c r="C46" s="21" t="s">
        <v>72</v>
      </c>
    </row>
    <row r="47" spans="1:3" ht="15" customHeight="1" x14ac:dyDescent="0.3">
      <c r="A47" s="19" t="s">
        <v>73</v>
      </c>
      <c r="B47" s="20" t="s">
        <v>74</v>
      </c>
      <c r="C47" s="21" t="s">
        <v>72</v>
      </c>
    </row>
    <row r="48" spans="1:3" ht="15" customHeight="1" x14ac:dyDescent="0.3">
      <c r="A48" s="19" t="s">
        <v>75</v>
      </c>
      <c r="B48" s="20" t="s">
        <v>76</v>
      </c>
      <c r="C48" s="21" t="s">
        <v>72</v>
      </c>
    </row>
    <row r="49" spans="1:3" ht="15" customHeight="1" x14ac:dyDescent="0.3">
      <c r="A49" s="19" t="s">
        <v>77</v>
      </c>
      <c r="B49" s="20" t="s">
        <v>78</v>
      </c>
      <c r="C49" s="21" t="s">
        <v>72</v>
      </c>
    </row>
    <row r="50" spans="1:3" ht="15" customHeight="1" x14ac:dyDescent="0.3">
      <c r="A50" s="19" t="s">
        <v>79</v>
      </c>
      <c r="B50" s="20" t="s">
        <v>80</v>
      </c>
      <c r="C50" s="21" t="s">
        <v>72</v>
      </c>
    </row>
    <row r="51" spans="1:3" ht="15" customHeight="1" x14ac:dyDescent="0.3">
      <c r="A51" s="19" t="s">
        <v>81</v>
      </c>
      <c r="B51" s="20" t="s">
        <v>82</v>
      </c>
      <c r="C51" s="21" t="s">
        <v>72</v>
      </c>
    </row>
    <row r="52" spans="1:3" ht="15" customHeight="1" x14ac:dyDescent="0.3">
      <c r="A52" s="19" t="s">
        <v>83</v>
      </c>
      <c r="B52" s="20" t="s">
        <v>84</v>
      </c>
      <c r="C52" s="21" t="s">
        <v>72</v>
      </c>
    </row>
    <row r="53" spans="1:3" ht="15" customHeight="1" x14ac:dyDescent="0.3">
      <c r="A53" s="19" t="s">
        <v>85</v>
      </c>
      <c r="B53" s="20" t="s">
        <v>86</v>
      </c>
      <c r="C53" s="21" t="s">
        <v>72</v>
      </c>
    </row>
    <row r="54" spans="1:3" ht="6" customHeight="1" x14ac:dyDescent="0.3"/>
    <row r="55" spans="1:3" ht="19.5" customHeight="1" x14ac:dyDescent="0.3">
      <c r="A55" s="48" t="s">
        <v>87</v>
      </c>
      <c r="B55" s="48"/>
      <c r="C55" s="48"/>
    </row>
    <row r="56" spans="1:3" ht="19.5" customHeight="1" x14ac:dyDescent="0.3">
      <c r="A56" s="1" t="s">
        <v>2</v>
      </c>
      <c r="B56" s="1" t="s">
        <v>3</v>
      </c>
      <c r="C56" s="1" t="s">
        <v>4</v>
      </c>
    </row>
    <row r="57" spans="1:3" ht="13.5" customHeight="1" x14ac:dyDescent="0.3">
      <c r="A57" s="49" t="s">
        <v>88</v>
      </c>
      <c r="B57" s="49"/>
      <c r="C57" s="49"/>
    </row>
    <row r="58" spans="1:3" ht="16.5" customHeight="1" x14ac:dyDescent="0.3">
      <c r="A58" s="2" t="s">
        <v>89</v>
      </c>
      <c r="B58" s="38"/>
      <c r="C58" s="3" t="s">
        <v>90</v>
      </c>
    </row>
    <row r="59" spans="1:3" ht="13.5" customHeight="1" x14ac:dyDescent="0.3">
      <c r="A59" s="49" t="s">
        <v>91</v>
      </c>
      <c r="B59" s="49"/>
      <c r="C59" s="49"/>
    </row>
    <row r="60" spans="1:3" ht="16.5" customHeight="1" x14ac:dyDescent="0.3">
      <c r="A60" s="2" t="s">
        <v>92</v>
      </c>
      <c r="B60" s="38"/>
      <c r="C60" s="3" t="s">
        <v>93</v>
      </c>
    </row>
    <row r="61" spans="1:3" ht="13.5" customHeight="1" x14ac:dyDescent="0.3">
      <c r="A61" s="49" t="s">
        <v>94</v>
      </c>
      <c r="B61" s="49"/>
      <c r="C61" s="49"/>
    </row>
    <row r="62" spans="1:3" ht="16.5" customHeight="1" x14ac:dyDescent="0.3">
      <c r="A62" s="2" t="s">
        <v>95</v>
      </c>
      <c r="B62" s="38"/>
      <c r="C62" s="3" t="s">
        <v>96</v>
      </c>
    </row>
    <row r="63" spans="1:3" ht="27.75" customHeight="1" x14ac:dyDescent="0.3">
      <c r="A63" s="55" t="s">
        <v>97</v>
      </c>
      <c r="B63" s="55"/>
      <c r="C63" s="55"/>
    </row>
    <row r="64" spans="1:3" ht="6" customHeight="1" x14ac:dyDescent="0.3"/>
    <row r="65" spans="1:3" x14ac:dyDescent="0.3">
      <c r="A65" s="54"/>
      <c r="B65" s="54"/>
      <c r="C65" s="54"/>
    </row>
  </sheetData>
  <sheetProtection algorithmName="SHA-512" hashValue="+sEtKwGBn+26rPdR3iF8/RNEUeADI76++cnGyGsDqXTGklz0wvGrmLTtTVIDDtwM59J0P5R+798cURMm7AXSUg==" saltValue="kn8fQMjnnOcveAOGCUcBwg==" spinCount="100000" sheet="1" formatCells="0" insertRows="0" deleteRows="0" selectLockedCells="1" sort="0" autoFilter="0"/>
  <mergeCells count="17">
    <mergeCell ref="A65:C65"/>
    <mergeCell ref="A55:C55"/>
    <mergeCell ref="A57:C57"/>
    <mergeCell ref="A59:C59"/>
    <mergeCell ref="A61:C61"/>
    <mergeCell ref="A63:C63"/>
    <mergeCell ref="A13:C13"/>
    <mergeCell ref="A19:C19"/>
    <mergeCell ref="A28:C28"/>
    <mergeCell ref="A31:C31"/>
    <mergeCell ref="A33:C33"/>
    <mergeCell ref="A17:C17"/>
    <mergeCell ref="A1:C1"/>
    <mergeCell ref="A2:C2"/>
    <mergeCell ref="A4:C4"/>
    <mergeCell ref="A9:C9"/>
    <mergeCell ref="A11:C11"/>
  </mergeCells>
  <dataValidations count="2">
    <dataValidation type="list" showErrorMessage="1" errorTitle="Sector no válido" error="Escribe un ID de la tabla (01 al 20)" sqref="B28" xr:uid="{00000000-0002-0000-0000-000001000000}">
      <formula1>"01,02,03,04,05,06,07,08,09,10,11,12,13,14,15,16,17,18,19,20"</formula1>
      <formula2>0</formula2>
    </dataValidation>
    <dataValidation type="list" showErrorMessage="1" errorTitle="Régimen no válido" error="Elige: ISR_PM, RESICO_0 a RESICO_4 o PFAE" sqref="B15" xr:uid="{00000000-0002-0000-0000-000000000000}">
      <formula1>"ISR_PM,RESICO_0,RESICO_1,RESICO_2,RESICO_3,RESICO_4,PFAE"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showGridLines="0" topLeftCell="A5" zoomScaleNormal="100" workbookViewId="0">
      <selection activeCell="B6" sqref="B6"/>
    </sheetView>
  </sheetViews>
  <sheetFormatPr baseColWidth="10" defaultColWidth="8.6640625" defaultRowHeight="14.4" x14ac:dyDescent="0.3"/>
  <cols>
    <col min="1" max="1" width="38" customWidth="1"/>
    <col min="2" max="2" width="28" customWidth="1"/>
    <col min="3" max="3" width="26" customWidth="1"/>
    <col min="5" max="5" width="12.6640625" bestFit="1" customWidth="1"/>
  </cols>
  <sheetData>
    <row r="1" spans="1:3" ht="31.5" customHeight="1" x14ac:dyDescent="0.3">
      <c r="A1" s="46" t="s">
        <v>98</v>
      </c>
      <c r="B1" s="46"/>
      <c r="C1" s="46"/>
    </row>
    <row r="2" spans="1:3" ht="18" customHeight="1" x14ac:dyDescent="0.3">
      <c r="A2" s="47" t="s">
        <v>205</v>
      </c>
      <c r="B2" s="47"/>
      <c r="C2" s="47"/>
    </row>
    <row r="3" spans="1:3" ht="6" customHeight="1" x14ac:dyDescent="0.3"/>
    <row r="4" spans="1:3" ht="19.5" customHeight="1" x14ac:dyDescent="0.3">
      <c r="A4" s="48" t="s">
        <v>99</v>
      </c>
      <c r="B4" s="48"/>
      <c r="C4" s="48"/>
    </row>
    <row r="5" spans="1:3" ht="19.5" customHeight="1" x14ac:dyDescent="0.3">
      <c r="A5" s="1" t="s">
        <v>2</v>
      </c>
      <c r="B5" s="1" t="s">
        <v>3</v>
      </c>
      <c r="C5" s="1" t="s">
        <v>4</v>
      </c>
    </row>
    <row r="6" spans="1:3" ht="16.5" customHeight="1" x14ac:dyDescent="0.3">
      <c r="A6" s="2" t="s">
        <v>100</v>
      </c>
      <c r="B6" s="38"/>
      <c r="C6" s="3" t="s">
        <v>101</v>
      </c>
    </row>
    <row r="7" spans="1:3" ht="13.5" customHeight="1" x14ac:dyDescent="0.3">
      <c r="A7" s="49" t="s">
        <v>102</v>
      </c>
      <c r="B7" s="49"/>
      <c r="C7" s="49"/>
    </row>
    <row r="8" spans="1:3" ht="16.5" customHeight="1" x14ac:dyDescent="0.3">
      <c r="A8" s="2" t="s">
        <v>103</v>
      </c>
      <c r="B8" s="38"/>
      <c r="C8" s="3" t="s">
        <v>104</v>
      </c>
    </row>
    <row r="9" spans="1:3" ht="13.5" customHeight="1" x14ac:dyDescent="0.3">
      <c r="A9" s="49" t="s">
        <v>105</v>
      </c>
      <c r="B9" s="49"/>
      <c r="C9" s="49"/>
    </row>
    <row r="10" spans="1:3" ht="16.5" customHeight="1" x14ac:dyDescent="0.3">
      <c r="A10" s="22" t="s">
        <v>106</v>
      </c>
      <c r="B10" s="23">
        <f>B6-B8</f>
        <v>0</v>
      </c>
      <c r="C10" s="3" t="s">
        <v>107</v>
      </c>
    </row>
    <row r="11" spans="1:3" ht="6" customHeight="1" x14ac:dyDescent="0.3"/>
    <row r="12" spans="1:3" ht="19.5" customHeight="1" x14ac:dyDescent="0.3">
      <c r="A12" s="48" t="s">
        <v>108</v>
      </c>
      <c r="B12" s="48"/>
      <c r="C12" s="48"/>
    </row>
    <row r="13" spans="1:3" ht="19.5" customHeight="1" x14ac:dyDescent="0.3">
      <c r="A13" s="1" t="s">
        <v>2</v>
      </c>
      <c r="B13" s="1" t="s">
        <v>3</v>
      </c>
      <c r="C13" s="1" t="s">
        <v>4</v>
      </c>
    </row>
    <row r="14" spans="1:3" ht="16.5" customHeight="1" x14ac:dyDescent="0.3">
      <c r="A14" s="2" t="s">
        <v>109</v>
      </c>
      <c r="B14" s="38"/>
      <c r="C14" s="3" t="s">
        <v>110</v>
      </c>
    </row>
    <row r="15" spans="1:3" ht="13.5" customHeight="1" x14ac:dyDescent="0.3">
      <c r="A15" s="49" t="s">
        <v>111</v>
      </c>
      <c r="B15" s="49"/>
      <c r="C15" s="49"/>
    </row>
    <row r="16" spans="1:3" ht="16.5" customHeight="1" x14ac:dyDescent="0.3">
      <c r="A16" s="2" t="s">
        <v>112</v>
      </c>
      <c r="B16" s="38"/>
      <c r="C16" s="3" t="s">
        <v>113</v>
      </c>
    </row>
    <row r="17" spans="1:3" ht="13.5" customHeight="1" x14ac:dyDescent="0.3">
      <c r="A17" s="49" t="s">
        <v>114</v>
      </c>
      <c r="B17" s="49"/>
      <c r="C17" s="49"/>
    </row>
    <row r="18" spans="1:3" ht="16.5" customHeight="1" x14ac:dyDescent="0.3">
      <c r="A18" s="2" t="s">
        <v>115</v>
      </c>
      <c r="B18" s="38"/>
      <c r="C18" s="3" t="s">
        <v>116</v>
      </c>
    </row>
    <row r="19" spans="1:3" ht="13.5" customHeight="1" x14ac:dyDescent="0.3">
      <c r="A19" s="49" t="s">
        <v>117</v>
      </c>
      <c r="B19" s="49"/>
      <c r="C19" s="49"/>
    </row>
    <row r="20" spans="1:3" ht="6" customHeight="1" x14ac:dyDescent="0.3"/>
    <row r="21" spans="1:3" ht="19.5" customHeight="1" x14ac:dyDescent="0.3">
      <c r="A21" s="48" t="s">
        <v>118</v>
      </c>
      <c r="B21" s="48"/>
      <c r="C21" s="48"/>
    </row>
    <row r="22" spans="1:3" ht="19.5" customHeight="1" x14ac:dyDescent="0.3">
      <c r="A22" s="1" t="s">
        <v>2</v>
      </c>
      <c r="B22" s="1" t="s">
        <v>3</v>
      </c>
      <c r="C22" s="1" t="s">
        <v>4</v>
      </c>
    </row>
    <row r="23" spans="1:3" ht="16.5" customHeight="1" x14ac:dyDescent="0.3">
      <c r="A23" s="2" t="s">
        <v>119</v>
      </c>
      <c r="B23" s="38"/>
      <c r="C23" s="3" t="s">
        <v>120</v>
      </c>
    </row>
    <row r="24" spans="1:3" ht="13.5" customHeight="1" x14ac:dyDescent="0.3">
      <c r="A24" s="49" t="s">
        <v>121</v>
      </c>
      <c r="B24" s="49"/>
      <c r="C24" s="49"/>
    </row>
    <row r="25" spans="1:3" ht="16.5" customHeight="1" x14ac:dyDescent="0.3">
      <c r="A25" s="2" t="s">
        <v>122</v>
      </c>
      <c r="B25" s="38"/>
      <c r="C25" s="3" t="s">
        <v>123</v>
      </c>
    </row>
    <row r="26" spans="1:3" ht="13.5" customHeight="1" x14ac:dyDescent="0.3">
      <c r="A26" s="49" t="s">
        <v>124</v>
      </c>
      <c r="B26" s="49"/>
      <c r="C26" s="49"/>
    </row>
    <row r="27" spans="1:3" ht="16.5" customHeight="1" x14ac:dyDescent="0.3">
      <c r="A27" s="2" t="s">
        <v>125</v>
      </c>
      <c r="B27" s="38"/>
      <c r="C27" s="3" t="s">
        <v>126</v>
      </c>
    </row>
    <row r="28" spans="1:3" ht="13.5" customHeight="1" x14ac:dyDescent="0.3">
      <c r="A28" s="49" t="s">
        <v>127</v>
      </c>
      <c r="B28" s="49"/>
      <c r="C28" s="49"/>
    </row>
    <row r="29" spans="1:3" ht="16.5" customHeight="1" x14ac:dyDescent="0.3">
      <c r="A29" s="2" t="s">
        <v>128</v>
      </c>
      <c r="B29" s="38"/>
      <c r="C29" s="3" t="s">
        <v>129</v>
      </c>
    </row>
    <row r="30" spans="1:3" ht="13.5" customHeight="1" x14ac:dyDescent="0.3">
      <c r="A30" s="49" t="s">
        <v>130</v>
      </c>
      <c r="B30" s="49"/>
      <c r="C30" s="49"/>
    </row>
    <row r="31" spans="1:3" ht="6" customHeight="1" x14ac:dyDescent="0.3"/>
    <row r="32" spans="1:3" ht="19.5" customHeight="1" x14ac:dyDescent="0.3">
      <c r="A32" s="48" t="s">
        <v>131</v>
      </c>
      <c r="B32" s="48"/>
      <c r="C32" s="48"/>
    </row>
    <row r="33" spans="1:3" ht="19.5" customHeight="1" x14ac:dyDescent="0.3">
      <c r="A33" s="1" t="s">
        <v>2</v>
      </c>
      <c r="B33" s="1" t="s">
        <v>3</v>
      </c>
      <c r="C33" s="1" t="s">
        <v>4</v>
      </c>
    </row>
    <row r="34" spans="1:3" ht="16.5" customHeight="1" x14ac:dyDescent="0.3">
      <c r="A34" s="22" t="s">
        <v>132</v>
      </c>
      <c r="B34" s="23">
        <f>B10-B14-B16-B18+B23-B25-B29</f>
        <v>0</v>
      </c>
      <c r="C34" s="3" t="s">
        <v>133</v>
      </c>
    </row>
    <row r="35" spans="1:3" ht="13.5" customHeight="1" x14ac:dyDescent="0.3">
      <c r="A35" s="49" t="s">
        <v>134</v>
      </c>
      <c r="B35" s="49"/>
      <c r="C35" s="49"/>
    </row>
    <row r="36" spans="1:3" ht="16.5" customHeight="1" x14ac:dyDescent="0.3">
      <c r="A36" s="22" t="s">
        <v>135</v>
      </c>
      <c r="B36" s="23">
        <f>B34+B18</f>
        <v>0</v>
      </c>
      <c r="C36" s="3" t="s">
        <v>136</v>
      </c>
    </row>
    <row r="37" spans="1:3" ht="13.5" customHeight="1" x14ac:dyDescent="0.3">
      <c r="A37" s="49" t="s">
        <v>137</v>
      </c>
      <c r="B37" s="49"/>
      <c r="C37" s="49"/>
    </row>
    <row r="38" spans="1:3" ht="16.5" customHeight="1" x14ac:dyDescent="0.3">
      <c r="A38" s="22" t="s">
        <v>138</v>
      </c>
      <c r="B38" s="23">
        <f>B34*(1-IF('Perfil de Empresa'!B15="ISR_PM",0.3,IF('Perfil de Empresa'!B15="PFAE",'Perfil de Empresa'!B16,IF('Perfil de Empresa'!B15="RESICO_0",0.01,IF('Perfil de Empresa'!B15="RESICO_1",0.011,IF('Perfil de Empresa'!B15="RESICO_2",0.015,IF('Perfil de Empresa'!B15="RESICO_3",0.02,0.025)))))))</f>
        <v>0</v>
      </c>
      <c r="C38" s="3" t="s">
        <v>139</v>
      </c>
    </row>
    <row r="39" spans="1:3" ht="13.5" customHeight="1" x14ac:dyDescent="0.3">
      <c r="A39" s="49" t="s">
        <v>140</v>
      </c>
      <c r="B39" s="49"/>
      <c r="C39" s="49"/>
    </row>
    <row r="40" spans="1:3" ht="16.5" customHeight="1" x14ac:dyDescent="0.3">
      <c r="A40" s="24" t="s">
        <v>141</v>
      </c>
      <c r="B40" s="25">
        <f>B34-B27</f>
        <v>0</v>
      </c>
      <c r="C40" s="3" t="s">
        <v>142</v>
      </c>
    </row>
    <row r="41" spans="1:3" ht="16.5" customHeight="1" x14ac:dyDescent="0.3">
      <c r="A41" s="22" t="s">
        <v>143</v>
      </c>
      <c r="B41" s="23">
        <f>B40-(B40*IF('Perfil de Empresa'!B15="ISR_PM",0.3,IF('Perfil de Empresa'!B15="PFAE",'Perfil de Empresa'!B16,IF('Perfil de Empresa'!B15="RESICO_0",0.01,IF('Perfil de Empresa'!B15="RESICO_1",0.011,IF('Perfil de Empresa'!B15="RESICO_2",0.015,IF('Perfil de Empresa'!B15="RESICO_3",0.02,0.025)))))))</f>
        <v>0</v>
      </c>
      <c r="C41" s="3" t="s">
        <v>144</v>
      </c>
    </row>
    <row r="42" spans="1:3" ht="13.5" customHeight="1" x14ac:dyDescent="0.3">
      <c r="A42" s="49" t="s">
        <v>145</v>
      </c>
      <c r="B42" s="49"/>
      <c r="C42" s="49"/>
    </row>
    <row r="43" spans="1:3" ht="6" customHeight="1" x14ac:dyDescent="0.3"/>
    <row r="44" spans="1:3" ht="18" customHeight="1" x14ac:dyDescent="0.3">
      <c r="A44" s="26" t="s">
        <v>146</v>
      </c>
      <c r="B44" s="27" t="str">
        <f>IF(B34&lt;0,"⚠️ EBIT NEGATIVO — Revisa los datos","✅ EBIT positivo")</f>
        <v>✅ EBIT positivo</v>
      </c>
      <c r="C44" s="28"/>
    </row>
    <row r="45" spans="1:3" ht="6" customHeight="1" x14ac:dyDescent="0.3"/>
    <row r="46" spans="1:3" ht="27.75" customHeight="1" x14ac:dyDescent="0.3">
      <c r="A46" s="56" t="s">
        <v>147</v>
      </c>
      <c r="B46" s="56"/>
      <c r="C46" s="56"/>
    </row>
  </sheetData>
  <sheetProtection algorithmName="SHA-512" hashValue="h6m9e4hs2d4bnmFzvXl/NMSCn3g1fw+nkUjPzPWm9zwKr1vBzDtLvDYJzH6wfcdXhbjt40bXRLEwlTLp7iL+KA==" saltValue="6rzkt4oNkE2QE/o35IMd8A==" spinCount="100000" sheet="1" formatCells="0" insertRows="0" deleteRows="0" selectLockedCells="1" sort="0" autoFilter="0"/>
  <mergeCells count="20">
    <mergeCell ref="A35:C35"/>
    <mergeCell ref="A37:C37"/>
    <mergeCell ref="A39:C39"/>
    <mergeCell ref="A42:C42"/>
    <mergeCell ref="A46:C46"/>
    <mergeCell ref="A24:C24"/>
    <mergeCell ref="A26:C26"/>
    <mergeCell ref="A28:C28"/>
    <mergeCell ref="A30:C30"/>
    <mergeCell ref="A32:C32"/>
    <mergeCell ref="A12:C12"/>
    <mergeCell ref="A15:C15"/>
    <mergeCell ref="A17:C17"/>
    <mergeCell ref="A19:C19"/>
    <mergeCell ref="A21:C21"/>
    <mergeCell ref="A1:C1"/>
    <mergeCell ref="A2:C2"/>
    <mergeCell ref="A4:C4"/>
    <mergeCell ref="A7:C7"/>
    <mergeCell ref="A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showGridLines="0" zoomScaleNormal="100" workbookViewId="0">
      <selection activeCell="B10" sqref="B10"/>
    </sheetView>
  </sheetViews>
  <sheetFormatPr baseColWidth="10" defaultColWidth="8.6640625" defaultRowHeight="14.4" x14ac:dyDescent="0.3"/>
  <cols>
    <col min="1" max="1" width="38" customWidth="1"/>
    <col min="2" max="2" width="31" bestFit="1" customWidth="1"/>
    <col min="3" max="3" width="26" customWidth="1"/>
  </cols>
  <sheetData>
    <row r="1" spans="1:3" ht="31.5" customHeight="1" x14ac:dyDescent="0.3">
      <c r="A1" s="46" t="s">
        <v>148</v>
      </c>
      <c r="B1" s="46"/>
      <c r="C1" s="46"/>
    </row>
    <row r="2" spans="1:3" ht="18" customHeight="1" x14ac:dyDescent="0.3">
      <c r="A2" s="47" t="s">
        <v>206</v>
      </c>
      <c r="B2" s="47"/>
      <c r="C2" s="47"/>
    </row>
    <row r="3" spans="1:3" ht="6" customHeight="1" x14ac:dyDescent="0.3"/>
    <row r="4" spans="1:3" ht="19.5" customHeight="1" x14ac:dyDescent="0.3">
      <c r="A4" s="48" t="s">
        <v>149</v>
      </c>
      <c r="B4" s="48"/>
      <c r="C4" s="48"/>
    </row>
    <row r="5" spans="1:3" ht="19.5" customHeight="1" x14ac:dyDescent="0.3">
      <c r="A5" s="1" t="s">
        <v>2</v>
      </c>
      <c r="B5" s="1" t="s">
        <v>3</v>
      </c>
      <c r="C5" s="1" t="s">
        <v>4</v>
      </c>
    </row>
    <row r="6" spans="1:3" ht="16.5" customHeight="1" x14ac:dyDescent="0.3">
      <c r="A6" s="2" t="s">
        <v>150</v>
      </c>
      <c r="B6" s="38"/>
      <c r="C6" s="3" t="s">
        <v>151</v>
      </c>
    </row>
    <row r="7" spans="1:3" ht="16.5" customHeight="1" x14ac:dyDescent="0.3">
      <c r="A7" s="2" t="s">
        <v>152</v>
      </c>
      <c r="B7" s="38"/>
      <c r="C7" s="3" t="s">
        <v>153</v>
      </c>
    </row>
    <row r="8" spans="1:3" ht="13.5" customHeight="1" x14ac:dyDescent="0.3">
      <c r="A8" s="49" t="s">
        <v>154</v>
      </c>
      <c r="B8" s="49"/>
      <c r="C8" s="49"/>
    </row>
    <row r="9" spans="1:3" ht="16.5" customHeight="1" x14ac:dyDescent="0.3">
      <c r="A9" s="2" t="s">
        <v>155</v>
      </c>
      <c r="B9" s="38"/>
      <c r="C9" s="3" t="s">
        <v>156</v>
      </c>
    </row>
    <row r="10" spans="1:3" ht="16.5" customHeight="1" x14ac:dyDescent="0.3">
      <c r="A10" s="2" t="s">
        <v>157</v>
      </c>
      <c r="B10" s="38"/>
      <c r="C10" s="3" t="s">
        <v>158</v>
      </c>
    </row>
    <row r="11" spans="1:3" ht="13.5" customHeight="1" x14ac:dyDescent="0.3">
      <c r="A11" s="49" t="s">
        <v>159</v>
      </c>
      <c r="B11" s="49"/>
      <c r="C11" s="49"/>
    </row>
    <row r="12" spans="1:3" ht="16.5" customHeight="1" x14ac:dyDescent="0.3">
      <c r="A12" s="22" t="s">
        <v>160</v>
      </c>
      <c r="B12" s="23">
        <f>B6+B7+B9+B10</f>
        <v>0</v>
      </c>
      <c r="C12" s="3" t="s">
        <v>142</v>
      </c>
    </row>
    <row r="13" spans="1:3" ht="6" customHeight="1" x14ac:dyDescent="0.3"/>
    <row r="14" spans="1:3" ht="19.5" customHeight="1" x14ac:dyDescent="0.3">
      <c r="A14" s="48" t="s">
        <v>161</v>
      </c>
      <c r="B14" s="48"/>
      <c r="C14" s="48"/>
    </row>
    <row r="15" spans="1:3" ht="19.5" customHeight="1" x14ac:dyDescent="0.3">
      <c r="A15" s="1" t="s">
        <v>2</v>
      </c>
      <c r="B15" s="1" t="s">
        <v>3</v>
      </c>
      <c r="C15" s="1" t="s">
        <v>4</v>
      </c>
    </row>
    <row r="16" spans="1:3" ht="16.5" customHeight="1" x14ac:dyDescent="0.3">
      <c r="A16" s="2" t="s">
        <v>162</v>
      </c>
      <c r="B16" s="38"/>
      <c r="C16" s="3" t="s">
        <v>163</v>
      </c>
    </row>
    <row r="17" spans="1:9" ht="13.5" customHeight="1" x14ac:dyDescent="0.3">
      <c r="A17" s="49" t="s">
        <v>164</v>
      </c>
      <c r="B17" s="49"/>
      <c r="C17" s="49"/>
      <c r="I17" s="39"/>
    </row>
    <row r="18" spans="1:9" ht="16.5" customHeight="1" x14ac:dyDescent="0.3">
      <c r="A18" s="2" t="s">
        <v>165</v>
      </c>
      <c r="B18" s="38"/>
      <c r="C18" s="3" t="s">
        <v>166</v>
      </c>
    </row>
    <row r="19" spans="1:9" ht="13.5" customHeight="1" x14ac:dyDescent="0.3">
      <c r="A19" s="49" t="s">
        <v>167</v>
      </c>
      <c r="B19" s="49"/>
      <c r="C19" s="49"/>
    </row>
    <row r="20" spans="1:9" ht="16.5" customHeight="1" x14ac:dyDescent="0.3">
      <c r="A20" s="22" t="s">
        <v>168</v>
      </c>
      <c r="B20" s="23">
        <f>B16+B18</f>
        <v>0</v>
      </c>
      <c r="C20" s="3" t="s">
        <v>142</v>
      </c>
    </row>
    <row r="21" spans="1:9" ht="6" customHeight="1" x14ac:dyDescent="0.3"/>
    <row r="22" spans="1:9" ht="19.5" customHeight="1" x14ac:dyDescent="0.3">
      <c r="A22" s="29" t="s">
        <v>169</v>
      </c>
      <c r="B22" s="30">
        <f>B12+B20</f>
        <v>0</v>
      </c>
      <c r="C22" s="31" t="s">
        <v>170</v>
      </c>
    </row>
    <row r="23" spans="1:9" ht="6" customHeight="1" x14ac:dyDescent="0.3"/>
    <row r="24" spans="1:9" ht="19.5" customHeight="1" x14ac:dyDescent="0.3">
      <c r="A24" s="48" t="s">
        <v>171</v>
      </c>
      <c r="B24" s="48"/>
      <c r="C24" s="48"/>
    </row>
    <row r="25" spans="1:9" ht="19.5" customHeight="1" x14ac:dyDescent="0.3">
      <c r="A25" s="1" t="s">
        <v>2</v>
      </c>
      <c r="B25" s="1" t="s">
        <v>3</v>
      </c>
      <c r="C25" s="1" t="s">
        <v>4</v>
      </c>
    </row>
    <row r="26" spans="1:9" ht="16.5" customHeight="1" x14ac:dyDescent="0.3">
      <c r="A26" s="2" t="s">
        <v>172</v>
      </c>
      <c r="B26" s="38"/>
      <c r="C26" s="3" t="s">
        <v>173</v>
      </c>
    </row>
    <row r="27" spans="1:9" ht="16.5" customHeight="1" x14ac:dyDescent="0.3">
      <c r="A27" s="2" t="s">
        <v>174</v>
      </c>
      <c r="B27" s="38"/>
      <c r="C27" s="3" t="s">
        <v>175</v>
      </c>
    </row>
    <row r="28" spans="1:9" ht="13.5" customHeight="1" x14ac:dyDescent="0.3">
      <c r="A28" s="49" t="s">
        <v>176</v>
      </c>
      <c r="B28" s="49"/>
      <c r="C28" s="49"/>
    </row>
    <row r="29" spans="1:9" ht="16.5" customHeight="1" x14ac:dyDescent="0.3">
      <c r="A29" s="2" t="s">
        <v>177</v>
      </c>
      <c r="B29" s="38"/>
      <c r="C29" s="3" t="s">
        <v>178</v>
      </c>
    </row>
    <row r="30" spans="1:9" ht="13.5" customHeight="1" x14ac:dyDescent="0.3">
      <c r="A30" s="49" t="s">
        <v>179</v>
      </c>
      <c r="B30" s="49"/>
      <c r="C30" s="49"/>
    </row>
    <row r="31" spans="1:9" ht="16.5" customHeight="1" x14ac:dyDescent="0.3">
      <c r="A31" s="22" t="s">
        <v>180</v>
      </c>
      <c r="B31" s="23">
        <f>B26+B27+B29</f>
        <v>0</v>
      </c>
      <c r="C31" s="3" t="s">
        <v>142</v>
      </c>
    </row>
    <row r="32" spans="1:9" ht="6" customHeight="1" x14ac:dyDescent="0.3"/>
    <row r="33" spans="1:3" ht="19.5" customHeight="1" x14ac:dyDescent="0.3">
      <c r="A33" s="48" t="s">
        <v>181</v>
      </c>
      <c r="B33" s="48"/>
      <c r="C33" s="48"/>
    </row>
    <row r="34" spans="1:3" ht="19.5" customHeight="1" x14ac:dyDescent="0.3">
      <c r="A34" s="1" t="s">
        <v>2</v>
      </c>
      <c r="B34" s="1" t="s">
        <v>3</v>
      </c>
      <c r="C34" s="1" t="s">
        <v>4</v>
      </c>
    </row>
    <row r="35" spans="1:3" ht="16.5" customHeight="1" x14ac:dyDescent="0.3">
      <c r="A35" s="2" t="s">
        <v>182</v>
      </c>
      <c r="B35" s="38"/>
      <c r="C35" s="3" t="s">
        <v>183</v>
      </c>
    </row>
    <row r="36" spans="1:3" ht="13.5" customHeight="1" x14ac:dyDescent="0.3">
      <c r="A36" s="49" t="s">
        <v>184</v>
      </c>
      <c r="B36" s="49"/>
      <c r="C36" s="49"/>
    </row>
    <row r="37" spans="1:3" ht="16.5" customHeight="1" x14ac:dyDescent="0.3">
      <c r="A37" s="2" t="s">
        <v>185</v>
      </c>
      <c r="B37" s="38"/>
      <c r="C37" s="3" t="s">
        <v>186</v>
      </c>
    </row>
    <row r="38" spans="1:3" ht="16.5" customHeight="1" x14ac:dyDescent="0.3">
      <c r="A38" s="22" t="s">
        <v>187</v>
      </c>
      <c r="B38" s="23">
        <f>B35+B37</f>
        <v>0</v>
      </c>
      <c r="C38" s="3" t="s">
        <v>142</v>
      </c>
    </row>
    <row r="39" spans="1:3" ht="19.5" customHeight="1" x14ac:dyDescent="0.3">
      <c r="A39" s="29" t="s">
        <v>188</v>
      </c>
      <c r="B39" s="30">
        <f>B31+B38</f>
        <v>0</v>
      </c>
      <c r="C39" s="31" t="s">
        <v>189</v>
      </c>
    </row>
    <row r="40" spans="1:3" ht="6" customHeight="1" x14ac:dyDescent="0.3"/>
    <row r="41" spans="1:3" ht="19.5" customHeight="1" x14ac:dyDescent="0.3">
      <c r="A41" s="48" t="s">
        <v>190</v>
      </c>
      <c r="B41" s="48"/>
      <c r="C41" s="48"/>
    </row>
    <row r="42" spans="1:3" ht="19.5" customHeight="1" x14ac:dyDescent="0.3">
      <c r="A42" s="1" t="s">
        <v>2</v>
      </c>
      <c r="B42" s="1" t="s">
        <v>3</v>
      </c>
      <c r="C42" s="1" t="s">
        <v>4</v>
      </c>
    </row>
    <row r="43" spans="1:3" ht="16.5" customHeight="1" x14ac:dyDescent="0.3">
      <c r="A43" s="2" t="s">
        <v>191</v>
      </c>
      <c r="B43" s="38"/>
      <c r="C43" s="3" t="s">
        <v>192</v>
      </c>
    </row>
    <row r="44" spans="1:3" ht="13.5" customHeight="1" x14ac:dyDescent="0.3">
      <c r="A44" s="49" t="s">
        <v>193</v>
      </c>
      <c r="B44" s="49"/>
      <c r="C44" s="49"/>
    </row>
    <row r="45" spans="1:3" ht="16.5" customHeight="1" x14ac:dyDescent="0.3">
      <c r="A45" s="2" t="s">
        <v>194</v>
      </c>
      <c r="B45" s="38"/>
      <c r="C45" s="3" t="s">
        <v>195</v>
      </c>
    </row>
    <row r="46" spans="1:3" ht="13.5" customHeight="1" x14ac:dyDescent="0.3">
      <c r="A46" s="49" t="s">
        <v>196</v>
      </c>
      <c r="B46" s="49"/>
      <c r="C46" s="49"/>
    </row>
    <row r="47" spans="1:3" ht="19.5" customHeight="1" x14ac:dyDescent="0.3">
      <c r="A47" s="29" t="s">
        <v>197</v>
      </c>
      <c r="B47" s="30">
        <f>B43+B45</f>
        <v>0</v>
      </c>
      <c r="C47" s="31" t="s">
        <v>198</v>
      </c>
    </row>
    <row r="48" spans="1:3" ht="6" customHeight="1" x14ac:dyDescent="0.3"/>
    <row r="49" spans="1:3" ht="19.5" customHeight="1" x14ac:dyDescent="0.3">
      <c r="A49" s="48" t="s">
        <v>199</v>
      </c>
      <c r="B49" s="48"/>
      <c r="C49" s="48"/>
    </row>
    <row r="50" spans="1:3" ht="18" customHeight="1" x14ac:dyDescent="0.3">
      <c r="A50" s="32" t="s">
        <v>200</v>
      </c>
      <c r="B50" s="23">
        <f>B22-(B39+B47)</f>
        <v>0</v>
      </c>
      <c r="C50" s="31" t="s">
        <v>201</v>
      </c>
    </row>
    <row r="51" spans="1:3" ht="27.75" customHeight="1" x14ac:dyDescent="0.3">
      <c r="A51" s="33" t="s">
        <v>202</v>
      </c>
      <c r="B51" s="34" t="str">
        <f>IF(ABS(B50)&lt;1,"✅ BALANCE CUADRADO","❌ ERROR: NO CUADRA — revisa los datos")</f>
        <v>✅ BALANCE CUADRADO</v>
      </c>
      <c r="C51" s="28"/>
    </row>
    <row r="52" spans="1:3" ht="13.5" customHeight="1" x14ac:dyDescent="0.3">
      <c r="A52" s="49" t="s">
        <v>203</v>
      </c>
      <c r="B52" s="49"/>
      <c r="C52" s="49"/>
    </row>
  </sheetData>
  <sheetProtection algorithmName="SHA-512" hashValue="TlVPVCClqn2cdbnWiwyxcerm4n8XbelE2jKSQYcF0SQ7iaPBOS2Gkfz07f5PM2NgBexF0PNM2ObbpM+gYktEhg==" saltValue="L9Qv1Wg67xARV0+SiOHUrw==" spinCount="100000" sheet="1" formatCells="0" insertRows="0" deleteRows="0" selectLockedCells="1" sort="0" autoFilter="0"/>
  <mergeCells count="18">
    <mergeCell ref="A46:C46"/>
    <mergeCell ref="A49:C49"/>
    <mergeCell ref="A52:C52"/>
    <mergeCell ref="A30:C30"/>
    <mergeCell ref="A33:C33"/>
    <mergeCell ref="A36:C36"/>
    <mergeCell ref="A41:C41"/>
    <mergeCell ref="A44:C44"/>
    <mergeCell ref="A14:C14"/>
    <mergeCell ref="A17:C17"/>
    <mergeCell ref="A19:C19"/>
    <mergeCell ref="A24:C24"/>
    <mergeCell ref="A28:C28"/>
    <mergeCell ref="A1:C1"/>
    <mergeCell ref="A2:C2"/>
    <mergeCell ref="A4:C4"/>
    <mergeCell ref="A8:C8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Perfil de Empresa</vt:lpstr>
      <vt:lpstr>Estado de Resultados</vt:lpstr>
      <vt:lpstr>Balance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Diego20 Mora</cp:lastModifiedBy>
  <cp:revision>0</cp:revision>
  <dcterms:created xsi:type="dcterms:W3CDTF">2026-05-08T14:53:58Z</dcterms:created>
  <dcterms:modified xsi:type="dcterms:W3CDTF">2026-05-14T16:15:28Z</dcterms:modified>
  <dc:language>en-US</dc:language>
</cp:coreProperties>
</file>
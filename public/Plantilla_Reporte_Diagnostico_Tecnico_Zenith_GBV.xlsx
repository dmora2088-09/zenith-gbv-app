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 MORA\Downloads\"/>
    </mc:Choice>
  </mc:AlternateContent>
  <xr:revisionPtr revIDLastSave="0" documentId="13_ncr:1_{5091A2B9-5169-4C76-B12D-E8EDA4192E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Resumen_Ejecutivo" sheetId="1" r:id="rId1"/>
    <sheet name="02_Variables_Entrada" sheetId="2" r:id="rId2"/>
    <sheet name="03_Motor_Calculos" sheetId="3" r:id="rId3"/>
    <sheet name="04_Plan_Accion_Estrategi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3" l="1"/>
  <c r="D51" i="3" s="1"/>
  <c r="D48" i="3"/>
  <c r="D41" i="3"/>
  <c r="D40" i="3"/>
  <c r="D39" i="3"/>
  <c r="D35" i="3"/>
  <c r="D34" i="3"/>
  <c r="D23" i="3"/>
  <c r="D22" i="3"/>
  <c r="D21" i="3"/>
  <c r="D20" i="3"/>
  <c r="D38" i="3" s="1"/>
  <c r="D43" i="3" s="1"/>
  <c r="D19" i="3"/>
  <c r="D24" i="3" s="1"/>
  <c r="D17" i="3"/>
  <c r="D16" i="3"/>
  <c r="D15" i="3"/>
  <c r="D14" i="3"/>
  <c r="D9" i="3"/>
  <c r="D8" i="3"/>
  <c r="D10" i="3" s="1"/>
  <c r="D7" i="3"/>
  <c r="D6" i="3"/>
  <c r="D54" i="3" s="1"/>
  <c r="D5" i="3"/>
  <c r="D52" i="3" s="1"/>
  <c r="B5" i="1"/>
  <c r="B4" i="1"/>
  <c r="B3" i="1"/>
  <c r="D11" i="3" l="1"/>
  <c r="D12" i="3" s="1"/>
  <c r="D36" i="3"/>
  <c r="D42" i="3" s="1"/>
  <c r="D45" i="3" s="1"/>
  <c r="D37" i="3"/>
  <c r="D44" i="3" s="1"/>
  <c r="D50" i="3"/>
  <c r="D25" i="3"/>
  <c r="D26" i="3" s="1"/>
  <c r="D53" i="3"/>
  <c r="D55" i="3" s="1"/>
  <c r="D46" i="3" l="1"/>
  <c r="C15" i="1"/>
  <c r="D15" i="1"/>
  <c r="E8" i="1"/>
  <c r="D29" i="3"/>
  <c r="D30" i="3"/>
  <c r="D28" i="3"/>
  <c r="D8" i="1" s="1"/>
  <c r="D14" i="1"/>
  <c r="C14" i="1"/>
  <c r="B8" i="1" l="1"/>
  <c r="D32" i="3"/>
  <c r="A8" i="1"/>
  <c r="D31" i="3"/>
  <c r="C8" i="1" s="1"/>
  <c r="F8" i="1" l="1"/>
  <c r="C13" i="1"/>
  <c r="D13" i="1"/>
</calcChain>
</file>

<file path=xl/sharedStrings.xml><?xml version="1.0" encoding="utf-8"?>
<sst xmlns="http://schemas.openxmlformats.org/spreadsheetml/2006/main" count="312" uniqueCount="239">
  <si>
    <t>Reporte de Diagnóstico Técnico | Zenith GBV</t>
  </si>
  <si>
    <t>Nombre de la Empresa</t>
  </si>
  <si>
    <t>Fecha</t>
  </si>
  <si>
    <t>Folio</t>
  </si>
  <si>
    <t>Score Global</t>
  </si>
  <si>
    <t>EVA Actual</t>
  </si>
  <si>
    <t>EVA Proyectado</t>
  </si>
  <si>
    <t>ROIC</t>
  </si>
  <si>
    <t>WACC</t>
  </si>
  <si>
    <t>Veredicto</t>
  </si>
  <si>
    <t>Semáforo Financiero</t>
  </si>
  <si>
    <t>Pilar</t>
  </si>
  <si>
    <t>Indicador Base</t>
  </si>
  <si>
    <t>Resultado</t>
  </si>
  <si>
    <t>Semáforo</t>
  </si>
  <si>
    <t>Rentabilidad</t>
  </si>
  <si>
    <t>EVA &gt; 0 y ROIC &gt; WACC</t>
  </si>
  <si>
    <t>Liquidez</t>
  </si>
  <si>
    <t>Razón Corriente &gt;= 1.20 y CCC controlado</t>
  </si>
  <si>
    <t>Estructura</t>
  </si>
  <si>
    <t>Z-Score Altman</t>
  </si>
  <si>
    <t>Notas de uso</t>
  </si>
  <si>
    <t>Esta plantilla separa datos crudos, motor de cálculo y estrategia. Los valores en azul/amarillo son supuestos editables; las celdas con fórmulas muestran la trazabilidad de EVA, ROIC, WACC, Z-Score y liquidez. Reemplace los datos de ejemplo en la hoja 02_Variables_Entrada para generar un diagnóstico específico.</t>
  </si>
  <si>
    <t>02_Variables_Entrada | Datos crudos y supuestos editables</t>
  </si>
  <si>
    <t>Categoría</t>
  </si>
  <si>
    <t>Variable</t>
  </si>
  <si>
    <t>Valor</t>
  </si>
  <si>
    <t>Fuente</t>
  </si>
  <si>
    <t>Identificación</t>
  </si>
  <si>
    <t>Empresa Demo Zenith GBV</t>
  </si>
  <si>
    <t>Captura consultor / CRM</t>
  </si>
  <si>
    <t>Fecha del Reporte</t>
  </si>
  <si>
    <t>Fecha de generación del diagnóstico</t>
  </si>
  <si>
    <t>ZGBV-0001</t>
  </si>
  <si>
    <t>Sistema Zenith GBV</t>
  </si>
  <si>
    <t>Estado de Resultados</t>
  </si>
  <si>
    <t>Ventas</t>
  </si>
  <si>
    <t>Estado de resultados / últimos 12 meses</t>
  </si>
  <si>
    <t>COGS / Costo de Ventas</t>
  </si>
  <si>
    <t>Gastos Operativos</t>
  </si>
  <si>
    <t>Depreciación y Amortización</t>
  </si>
  <si>
    <t>CxC Promedio</t>
  </si>
  <si>
    <t>Balance inicial/final o promedio mensual</t>
  </si>
  <si>
    <t>Inventario Promedio</t>
  </si>
  <si>
    <t>CxP Promedio</t>
  </si>
  <si>
    <t>Balance General</t>
  </si>
  <si>
    <t>Caja y Bancos</t>
  </si>
  <si>
    <t>Balance general</t>
  </si>
  <si>
    <t>Cuentas por Cobrar</t>
  </si>
  <si>
    <t>Inventarios</t>
  </si>
  <si>
    <t>Otros Activos Corrientes Operativos</t>
  </si>
  <si>
    <t>Activos Fijos Netos</t>
  </si>
  <si>
    <t>Proveedores / CxP</t>
  </si>
  <si>
    <t>Deuda Corto Plazo</t>
  </si>
  <si>
    <t>Balance general / bancos</t>
  </si>
  <si>
    <t>Deuda Largo Plazo</t>
  </si>
  <si>
    <t>Otros Pasivos Operativos sin Costo</t>
  </si>
  <si>
    <t>Capital Contable</t>
  </si>
  <si>
    <t>Utilidades Retenidas</t>
  </si>
  <si>
    <t>Parámetros Macroeconómicos</t>
  </si>
  <si>
    <t>Tasa Libre de Riesgo</t>
  </si>
  <si>
    <t>Supuesto editable / fuente macroeconómica</t>
  </si>
  <si>
    <t>Prima de Riesgo de Mercado</t>
  </si>
  <si>
    <t>Supuesto editable / mercado</t>
  </si>
  <si>
    <t>Beta Sectorial</t>
  </si>
  <si>
    <t>Supuesto editable / comparables sectoriales</t>
  </si>
  <si>
    <t>Prima de Riesgo PyME</t>
  </si>
  <si>
    <t>Supuesto editable / política Zenith GBV</t>
  </si>
  <si>
    <t>Inflación Esperada</t>
  </si>
  <si>
    <t>Tasa ISR</t>
  </si>
  <si>
    <t>Supuesto fiscal editable</t>
  </si>
  <si>
    <t>Tasa de Interés de la Deuda Kd</t>
  </si>
  <si>
    <t>Contratos bancarios / tasa promedio ponderada</t>
  </si>
  <si>
    <t>Factor Mejora EVA Proyectado</t>
  </si>
  <si>
    <t>Supuesto de plan de acción / escenario base</t>
  </si>
  <si>
    <t>03_Motor_Calculos | Trazabilidad matemática del diagnóstico EVA</t>
  </si>
  <si>
    <t>Concepto</t>
  </si>
  <si>
    <t>Fórmula/Procedimiento</t>
  </si>
  <si>
    <t>Variables Involucradas</t>
  </si>
  <si>
    <t>1. Cálculo de NOPAT</t>
  </si>
  <si>
    <t>= Ventas</t>
  </si>
  <si>
    <t>02_Variables_Entrada!C7</t>
  </si>
  <si>
    <t>= COGS</t>
  </si>
  <si>
    <t>02_Variables_Entrada!C8</t>
  </si>
  <si>
    <t>= Gastos Operativos</t>
  </si>
  <si>
    <t>02_Variables_Entrada!C9</t>
  </si>
  <si>
    <t>EBITDA</t>
  </si>
  <si>
    <t>= Ventas - COGS - Gastos Operativos</t>
  </si>
  <si>
    <t>Ventas, COGS, Gastos Operativos</t>
  </si>
  <si>
    <t>= Depreciación y Amortización</t>
  </si>
  <si>
    <t>02_Variables_Entrada!C10</t>
  </si>
  <si>
    <t>EBIT</t>
  </si>
  <si>
    <t>= EBITDA - Depreciación y Amortización</t>
  </si>
  <si>
    <t>EBITDA, Depreciación</t>
  </si>
  <si>
    <t>Impuestos Operativos</t>
  </si>
  <si>
    <t>= EBIT x Tasa ISR</t>
  </si>
  <si>
    <t>EBIT, Tasa ISR</t>
  </si>
  <si>
    <t>NOPAT</t>
  </si>
  <si>
    <t>= EBIT - Impuestos Operativos</t>
  </si>
  <si>
    <t>EBIT, Impuestos Operativos</t>
  </si>
  <si>
    <t>2. Cálculo de Capital Invertido</t>
  </si>
  <si>
    <t>Activos Corrientes Operativos</t>
  </si>
  <si>
    <t>= CxC + Inventarios + Otros Activos Corrientes Operativos</t>
  </si>
  <si>
    <t>Cuentas por Cobrar, Inventarios, Otros Activos Corrientes</t>
  </si>
  <si>
    <t>= Activos Fijos Netos</t>
  </si>
  <si>
    <t>02_Variables_Entrada!C23</t>
  </si>
  <si>
    <t>Pasivos Operativos sin Costo</t>
  </si>
  <si>
    <t>= Proveedores/CxP + Otros Pasivos Operativos sin Costo</t>
  </si>
  <si>
    <t>Proveedores, Otros Pasivos Operativos</t>
  </si>
  <si>
    <t>Capital Invertido</t>
  </si>
  <si>
    <t>= Activos Corrientes Operativos + Activos Fijos Netos - Pasivos Operativos sin Costo</t>
  </si>
  <si>
    <t>AON, AFN, Pasivos Operativos</t>
  </si>
  <si>
    <t>3. Cálculo de WACC</t>
  </si>
  <si>
    <t>Deuda Total con Costo</t>
  </si>
  <si>
    <t>= Deuda CP + Deuda LP</t>
  </si>
  <si>
    <t>Deuda Corto Plazo, Deuda Largo Plazo</t>
  </si>
  <si>
    <t>= Capital Contable</t>
  </si>
  <si>
    <t>02_Variables_Entrada!C28</t>
  </si>
  <si>
    <t>Costo de Deuda Kd antes de ISR</t>
  </si>
  <si>
    <t>= Tasa de interés promedio de la deuda</t>
  </si>
  <si>
    <t>Tasa Kd</t>
  </si>
  <si>
    <t>Costo de Deuda Kd después de ISR</t>
  </si>
  <si>
    <t>= Kd x (1 - Tasa ISR)</t>
  </si>
  <si>
    <t>Kd, Tasa ISR</t>
  </si>
  <si>
    <t>Costo de Capital Ke CAPM ajustado</t>
  </si>
  <si>
    <t>= Rf + Beta x Prima de Mercado + Prima de Riesgo PyME</t>
  </si>
  <si>
    <t>Rf, Beta, Prima Mercado, Prima PyME</t>
  </si>
  <si>
    <t>Peso de Deuda</t>
  </si>
  <si>
    <t>= Deuda / (Deuda + Capital)</t>
  </si>
  <si>
    <t>Deuda Total, Capital Contable</t>
  </si>
  <si>
    <t>Peso de Capital</t>
  </si>
  <si>
    <t>= Capital / (Deuda + Capital)</t>
  </si>
  <si>
    <t>= (Peso Deuda x Kd post-ISR) + (Peso Capital x Ke)</t>
  </si>
  <si>
    <t>Wd, Kd post-ISR, We, Ke</t>
  </si>
  <si>
    <t>4. Cálculo de EVA</t>
  </si>
  <si>
    <t>= NOPAT / Capital Invertido</t>
  </si>
  <si>
    <t>NOPAT, Capital Invertido</t>
  </si>
  <si>
    <t>Cargo de Capital</t>
  </si>
  <si>
    <t>= Capital Invertido x WACC</t>
  </si>
  <si>
    <t>Capital Invertido, WACC</t>
  </si>
  <si>
    <t>= NOPAT - Cargo de Capital</t>
  </si>
  <si>
    <t>NOPAT, Cargo de Capital</t>
  </si>
  <si>
    <t>= EVA Actual x (1 + Factor Mejora EVA Proyectado)</t>
  </si>
  <si>
    <t>EVA Actual, Factor Mejora</t>
  </si>
  <si>
    <t>Margen EVA</t>
  </si>
  <si>
    <t>= EVA Actual / Ventas</t>
  </si>
  <si>
    <t>EVA Actual, Ventas</t>
  </si>
  <si>
    <t>5. Cálculo de Z-Score de Altman</t>
  </si>
  <si>
    <t>Capital de Trabajo</t>
  </si>
  <si>
    <t>= Activos Corrientes - Pasivos Corrientes</t>
  </si>
  <si>
    <t>Caja, CxC, Inventarios, Otros Activos Corrientes, Proveedores, Deuda CP, Otros Pasivos Operativos</t>
  </si>
  <si>
    <t>Total Activos</t>
  </si>
  <si>
    <t>= Caja + CxC + Inventarios + Otros Activos Corrientes + Activos Fijos Netos</t>
  </si>
  <si>
    <t>Activos del balance</t>
  </si>
  <si>
    <t>EBIT para Z-Score</t>
  </si>
  <si>
    <t>= EBIT</t>
  </si>
  <si>
    <t>Ventas para Z-Score</t>
  </si>
  <si>
    <t>Valor Contable del Capital</t>
  </si>
  <si>
    <t>Pasivos Totales</t>
  </si>
  <si>
    <t>= Pasivos Operativos + Deuda CP + Deuda LP</t>
  </si>
  <si>
    <t>Proveedores, deuda, otros pasivos</t>
  </si>
  <si>
    <t>X1: Capital de Trabajo / Total Activos</t>
  </si>
  <si>
    <t>= Capital de Trabajo / Total Activos</t>
  </si>
  <si>
    <t>Capital de Trabajo, Total Activos</t>
  </si>
  <si>
    <t>X2: Utilidades Retenidas / Total Activos</t>
  </si>
  <si>
    <t>= Utilidades Retenidas / Total Activos</t>
  </si>
  <si>
    <t>Utilidades Retenidas, Total Activos</t>
  </si>
  <si>
    <t>X3: EBIT / Total Activos</t>
  </si>
  <si>
    <t>= EBIT / Total Activos</t>
  </si>
  <si>
    <t>EBIT, Total Activos</t>
  </si>
  <si>
    <t>X4: Capital / Pasivos Totales</t>
  </si>
  <si>
    <t>= Capital Contable / Pasivos Totales</t>
  </si>
  <si>
    <t>Capital Contable, Pasivos Totales</t>
  </si>
  <si>
    <t>X5: Ventas / Total Activos</t>
  </si>
  <si>
    <t>= Ventas / Total Activos</t>
  </si>
  <si>
    <t>Ventas, Total Activos</t>
  </si>
  <si>
    <t>Z-Score Altman Z' privado</t>
  </si>
  <si>
    <t>= 0.717X1 + 0.847X2 + 3.107X3 + 0.420X4 + 0.998X5</t>
  </si>
  <si>
    <t>X1, X2, X3, X4, X5</t>
  </si>
  <si>
    <t>Lectura Z-Score</t>
  </si>
  <si>
    <t>= SI Z &gt; 2.90: zona segura; 1.23 a 2.90: gris; &lt; 1.23: riesgo</t>
  </si>
  <si>
    <t>Z-Score</t>
  </si>
  <si>
    <t>6. Ratios de Liquidez</t>
  </si>
  <si>
    <t>Activos Corrientes</t>
  </si>
  <si>
    <t>= Caja + CxC + Inventarios + Otros Activos Corrientes</t>
  </si>
  <si>
    <t>Caja, CxC, Inventarios, Otros Activos Corrientes</t>
  </si>
  <si>
    <t>Pasivos Corrientes</t>
  </si>
  <si>
    <t>= Proveedores + Deuda Corto Plazo + Otros Pasivos Operativos</t>
  </si>
  <si>
    <t>Proveedores, Deuda CP, Otros Pasivos Operativos</t>
  </si>
  <si>
    <t>Razón Corriente</t>
  </si>
  <si>
    <t>= Activos Corrientes / Pasivos Corrientes</t>
  </si>
  <si>
    <t>Activos Corrientes, Pasivos Corrientes</t>
  </si>
  <si>
    <t>Prueba Ácida</t>
  </si>
  <si>
    <t>= (Activos Corrientes - Inventarios) / Pasivos Corrientes</t>
  </si>
  <si>
    <t>Activos Corrientes, Inventarios, Pasivos Corrientes</t>
  </si>
  <si>
    <t>DSO - Días de Cobro</t>
  </si>
  <si>
    <t>= CxC Promedio / Ventas x 365</t>
  </si>
  <si>
    <t>CxC Promedio, Ventas</t>
  </si>
  <si>
    <t>DIO - Días de Inventario</t>
  </si>
  <si>
    <t>= Inventario Promedio / COGS x 365</t>
  </si>
  <si>
    <t>Inventario Promedio, COGS</t>
  </si>
  <si>
    <t>DPO - Días de Pago</t>
  </si>
  <si>
    <t>= CxP Promedio / COGS x 365</t>
  </si>
  <si>
    <t>CxP Promedio, COGS</t>
  </si>
  <si>
    <t>Ciclo de Conversión de Efectivo</t>
  </si>
  <si>
    <t>= DSO + DIO - DPO</t>
  </si>
  <si>
    <t>DSO, DIO, DPO</t>
  </si>
  <si>
    <t>04_Plan_Accion_Estrategias | Estrategias activadas por el motor</t>
  </si>
  <si>
    <t>Nivel de Prioridad</t>
  </si>
  <si>
    <t>Alerta Detonante</t>
  </si>
  <si>
    <t>Estrategia Recomendada</t>
  </si>
  <si>
    <t>KPI de Medición</t>
  </si>
  <si>
    <t>Alta</t>
  </si>
  <si>
    <t>EVA Actual negativo o ROIC &lt; WACC</t>
  </si>
  <si>
    <t>Priorizar iniciativas con impacto directo en NOPAT: ajuste de precios, renegociación de costos variables, depuración de líneas no rentables y revisión de gastos operativos por centro de costo.</t>
  </si>
  <si>
    <t>EVA mensual; Spread ROIC-WACC; Margen EBIT</t>
  </si>
  <si>
    <t>Media</t>
  </si>
  <si>
    <t>Margen EBITDA bajo vs objetivo interno</t>
  </si>
  <si>
    <t>Rediseñar mix de productos/servicios y establecer tablero semanal de margen por unidad económica para detectar fugas de rentabilidad.</t>
  </si>
  <si>
    <t>Margen EBITDA; Margen bruto; % gastos operativos/ventas</t>
  </si>
  <si>
    <t>Razón Corriente &lt; 1.0 o Prueba Ácida &lt; 0.8</t>
  </si>
  <si>
    <t>Implementar plan de caja de 13 semanas, priorizar cobranza vencida y congelar desembolsos no críticos hasta estabilizar liquidez operativa.</t>
  </si>
  <si>
    <t>Caja disponible; Razón corriente; Prueba ácida</t>
  </si>
  <si>
    <t>Ciclo de Conversión de Efectivo alto</t>
  </si>
  <si>
    <t>Reducir DSO mediante política de crédito, descuentos por pronto pago y seguimiento de cobranza; optimizar DIO con niveles mínimos/máximos de inventario.</t>
  </si>
  <si>
    <t>CCC; DSO; DIO; DPO</t>
  </si>
  <si>
    <t>Z-Score en zona de riesgo</t>
  </si>
  <si>
    <t>Reestructurar pasivos de corto plazo, renegociar vencimientos y evaluar capitalización o aportaciones para reducir presión financiera.</t>
  </si>
  <si>
    <t>Z-Score; Deuda/Capital; Cobertura de intereses</t>
  </si>
  <si>
    <t>Peso de deuda elevado en WACC</t>
  </si>
  <si>
    <t>Calcular costo financiero real por acreedor y sustituir deuda cara por fuentes más baratas o plazos compatibles con el ciclo operativo.</t>
  </si>
  <si>
    <t>Kd promedio; WACC; Peso deuda</t>
  </si>
  <si>
    <t>Baja</t>
  </si>
  <si>
    <t>EVA positivo con oportunidad de expansión</t>
  </si>
  <si>
    <t>Reinvertir únicamente en proyectos con ROIC esperado superior al WACC y con hitos de seguimiento trimestral.</t>
  </si>
  <si>
    <t>ROIC incremental; EVA proyectado; Payback operativo</t>
  </si>
  <si>
    <t>Liquidez sana, pero capital atrapado en inventarios</t>
  </si>
  <si>
    <t>Implementar rotación ABC y liquidación ordenada de inventarios lentos sin erosionar margen estratégico.</t>
  </si>
  <si>
    <t>Rotación de inventario; DIO; margen por liquidación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</si>
</sst>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;[Red]\(\$#,##0\);\-"/>
    <numFmt numFmtId="166" formatCode="0.00%;[Red]\(0.00%\);\-"/>
    <numFmt numFmtId="167" formatCode="#,##0.00;[Red]\(#,##0.00\);\-"/>
    <numFmt numFmtId="168" formatCode="#,##0.0\ &quot;días&quot;;[Red]\(#,##0.0\ &quot;días&quot;\);\-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2"/>
      <color rgb="FFFFFFFF"/>
      <name val="Carlito"/>
    </font>
    <font>
      <b/>
      <sz val="12"/>
      <color rgb="FF000000"/>
      <name val="Carlito"/>
    </font>
    <font>
      <sz val="11"/>
      <color rgb="FF000000"/>
      <name val="Carlito"/>
    </font>
    <font>
      <b/>
      <sz val="11"/>
      <name val="Carlito"/>
    </font>
    <font>
      <sz val="11"/>
      <color rgb="FF008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A192F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165" fontId="6" fillId="0" borderId="0" xfId="0" applyNumberFormat="1" applyFont="1" applyAlignment="1">
      <alignment vertical="top"/>
    </xf>
    <xf numFmtId="166" fontId="6" fillId="0" borderId="0" xfId="0" applyNumberFormat="1" applyFont="1" applyAlignment="1">
      <alignment vertical="top"/>
    </xf>
    <xf numFmtId="167" fontId="6" fillId="0" borderId="0" xfId="0" applyNumberFormat="1" applyFont="1" applyAlignment="1">
      <alignment vertical="top"/>
    </xf>
    <xf numFmtId="168" fontId="6" fillId="0" borderId="0" xfId="0" applyNumberFormat="1" applyFont="1" applyAlignment="1">
      <alignment vertical="top"/>
    </xf>
    <xf numFmtId="1" fontId="7" fillId="5" borderId="0" xfId="0" applyNumberFormat="1" applyFont="1" applyFill="1" applyAlignment="1">
      <alignment horizontal="center" vertical="center" wrapText="1"/>
    </xf>
    <xf numFmtId="165" fontId="7" fillId="5" borderId="0" xfId="0" applyNumberFormat="1" applyFont="1" applyFill="1" applyAlignment="1">
      <alignment horizontal="center" vertical="center" wrapText="1"/>
    </xf>
    <xf numFmtId="166" fontId="7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165" fontId="5" fillId="2" borderId="0" xfId="0" applyNumberFormat="1" applyFont="1" applyFill="1" applyAlignment="1">
      <alignment horizontal="left" vertical="top"/>
    </xf>
    <xf numFmtId="166" fontId="5" fillId="2" borderId="0" xfId="0" applyNumberFormat="1" applyFont="1" applyFill="1" applyAlignment="1">
      <alignment horizontal="left" vertical="top"/>
    </xf>
    <xf numFmtId="0" fontId="0" fillId="0" borderId="0" xfId="0" applyAlignment="1">
      <alignment vertical="center"/>
    </xf>
    <xf numFmtId="0" fontId="7" fillId="4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164" fontId="3" fillId="3" borderId="0" xfId="0" applyNumberFormat="1" applyFont="1" applyFill="1" applyAlignment="1">
      <alignment horizontal="right" vertical="center" wrapText="1"/>
    </xf>
    <xf numFmtId="165" fontId="3" fillId="3" borderId="0" xfId="0" applyNumberFormat="1" applyFont="1" applyFill="1" applyAlignment="1">
      <alignment horizontal="right" vertical="center" wrapText="1"/>
    </xf>
    <xf numFmtId="166" fontId="3" fillId="3" borderId="0" xfId="0" applyNumberFormat="1" applyFont="1" applyFill="1" applyAlignment="1">
      <alignment horizontal="right" vertical="center" wrapText="1"/>
    </xf>
    <xf numFmtId="166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1"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blesEntradaTbl" displayName="VariablesEntradaTbl" ref="A3:D32" headerRowDxfId="10" dataDxfId="8" totalsRowDxfId="9">
  <tableColumns count="4">
    <tableColumn id="1" xr3:uid="{00000000-0010-0000-0000-000001000000}" name="Categoría" dataDxfId="14"/>
    <tableColumn id="2" xr3:uid="{00000000-0010-0000-0000-000002000000}" name="Variable" dataDxfId="13"/>
    <tableColumn id="3" xr3:uid="{00000000-0010-0000-0000-000003000000}" name="Valor" dataDxfId="12"/>
    <tableColumn id="4" xr3:uid="{00000000-0010-0000-0000-000004000000}" name="Fuent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nAccionTbl" displayName="PlanAccionTbl" ref="A3:E11" headerRowDxfId="5" dataDxfId="3" totalsRowDxfId="4">
  <tableColumns count="5">
    <tableColumn id="1" xr3:uid="{00000000-0010-0000-0100-000001000000}" name="Pilar" dataDxfId="2"/>
    <tableColumn id="2" xr3:uid="{00000000-0010-0000-0100-000002000000}" name="Nivel de Prioridad" dataDxfId="0"/>
    <tableColumn id="3" xr3:uid="{00000000-0010-0000-0100-000003000000}" name="Alerta Detonante" dataDxfId="1"/>
    <tableColumn id="4" xr3:uid="{00000000-0010-0000-0100-000004000000}" name="Estrategia Recomendada" dataDxfId="7"/>
    <tableColumn id="5" xr3:uid="{00000000-0010-0000-0100-000005000000}" name="KPI de Medición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C8" sqref="C8"/>
    </sheetView>
  </sheetViews>
  <sheetFormatPr baseColWidth="10" defaultColWidth="8.796875" defaultRowHeight="13.8"/>
  <cols>
    <col min="1" max="1" width="24" style="18" customWidth="1"/>
    <col min="2" max="2" width="23.09765625" style="18" bestFit="1" customWidth="1"/>
    <col min="3" max="3" width="28" style="18" customWidth="1"/>
    <col min="4" max="4" width="22" style="18" customWidth="1"/>
    <col min="5" max="5" width="14" style="18" customWidth="1"/>
    <col min="6" max="6" width="34" style="18" customWidth="1"/>
    <col min="7" max="8" width="16" style="18" customWidth="1"/>
    <col min="9" max="16384" width="8.796875" style="18"/>
  </cols>
  <sheetData>
    <row r="1" spans="1:8" ht="22.35" customHeight="1">
      <c r="A1" s="11" t="s">
        <v>0</v>
      </c>
      <c r="B1" s="11"/>
      <c r="C1" s="11"/>
      <c r="D1" s="11"/>
      <c r="E1" s="11"/>
      <c r="F1" s="11"/>
      <c r="G1" s="11"/>
      <c r="H1" s="11"/>
    </row>
    <row r="3" spans="1:8">
      <c r="A3" s="19" t="s">
        <v>1</v>
      </c>
      <c r="B3" s="23" t="str">
        <f>'02_Variables_Entrada'!C4</f>
        <v>Empresa Demo Zenith GBV</v>
      </c>
    </row>
    <row r="4" spans="1:8">
      <c r="A4" s="19" t="s">
        <v>2</v>
      </c>
      <c r="B4" s="24">
        <f>'02_Variables_Entrada'!C5</f>
        <v>46155</v>
      </c>
    </row>
    <row r="5" spans="1:8">
      <c r="A5" s="19" t="s">
        <v>3</v>
      </c>
      <c r="B5" s="23" t="str">
        <f>'02_Variables_Entrada'!C6</f>
        <v>ZGBV-0001</v>
      </c>
    </row>
    <row r="7" spans="1:8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8">
      <c r="A8" s="7">
        <f>MAX(0,MIN(100,50+IF('03_Motor_Calculos'!D30&gt;0,20,-20)+IF('03_Motor_Calculos'!D28&gt;'03_Motor_Calculos'!D26,15,-15)+IF('03_Motor_Calculos'!D50&gt;=1.2,10,-10)+IF('03_Motor_Calculos'!D45&gt;2.9,5,IF('03_Motor_Calculos'!D45&gt;=1.23,0,-5))))</f>
        <v>25</v>
      </c>
      <c r="B8" s="8">
        <f>'03_Motor_Calculos'!D30</f>
        <v>-18919.718309859221</v>
      </c>
      <c r="C8" s="8">
        <f>'03_Motor_Calculos'!D31</f>
        <v>-20811.690140845145</v>
      </c>
      <c r="D8" s="9">
        <f>'03_Motor_Calculos'!D28</f>
        <v>0.14528301886792452</v>
      </c>
      <c r="E8" s="9">
        <f>'03_Motor_Calculos'!D26</f>
        <v>0.15242253521126764</v>
      </c>
      <c r="F8" s="10" t="str">
        <f>IF(B8&gt;0,IF(D8&gt;E8,"Crea valor económico","Crea EVA pero revisar spread ROIC-WACC"),"Destruye valor económico")</f>
        <v>Destruye valor económico</v>
      </c>
    </row>
    <row r="11" spans="1:8" ht="15.6">
      <c r="A11" s="12" t="s">
        <v>10</v>
      </c>
      <c r="B11" s="12"/>
      <c r="C11" s="12"/>
      <c r="D11" s="12"/>
    </row>
    <row r="12" spans="1:8">
      <c r="A12" s="1" t="s">
        <v>11</v>
      </c>
      <c r="B12" s="1" t="s">
        <v>12</v>
      </c>
      <c r="C12" s="1" t="s">
        <v>13</v>
      </c>
      <c r="D12" s="1" t="s">
        <v>14</v>
      </c>
    </row>
    <row r="13" spans="1:8">
      <c r="A13" s="20" t="s">
        <v>15</v>
      </c>
      <c r="B13" s="20" t="s">
        <v>16</v>
      </c>
      <c r="C13" s="20" t="str">
        <f>"EVA: "&amp;TEXT(B8,"$#,##0;($#,##0);-")&amp;" | Spread: "&amp;TEXT(D8-E8,"0.00%")</f>
        <v>EVA: ($18,920) | Spread: -0.71%</v>
      </c>
      <c r="D13" s="21" t="str">
        <f>IF(AND(B8&gt;0,D8&gt;E8),"Verde",IF(OR(B8&gt;0,D8&gt;E8),"Amarillo","Rojo"))</f>
        <v>Rojo</v>
      </c>
    </row>
    <row r="14" spans="1:8" ht="27.6">
      <c r="A14" s="20" t="s">
        <v>17</v>
      </c>
      <c r="B14" s="20" t="s">
        <v>18</v>
      </c>
      <c r="C14" s="20" t="str">
        <f>"Razón Corriente: "&amp;TEXT('03_Motor_Calculos'!D50,"0.00")&amp;" | CCC: "&amp;TEXT('03_Motor_Calculos'!D55,"0.0")&amp;" días"</f>
        <v>Razón Corriente: 1.82 | CCC: 77.9 días</v>
      </c>
      <c r="D14" s="21" t="str">
        <f>IF('03_Motor_Calculos'!D50&gt;=1.2,"Verde",IF('03_Motor_Calculos'!D50&gt;=1,"Amarillo","Rojo"))</f>
        <v>Verde</v>
      </c>
    </row>
    <row r="15" spans="1:8">
      <c r="A15" s="20" t="s">
        <v>19</v>
      </c>
      <c r="B15" s="20" t="s">
        <v>20</v>
      </c>
      <c r="C15" s="20" t="str">
        <f>"Z-Score: "&amp;TEXT('03_Motor_Calculos'!D45,"0.00")&amp;" | "&amp;'03_Motor_Calculos'!D46</f>
        <v>Z-Score: 2.55 | Zona gris</v>
      </c>
      <c r="D15" s="21" t="str">
        <f>IF('03_Motor_Calculos'!D45&gt;2.9,"Verde",IF('03_Motor_Calculos'!D45&gt;=1.23,"Amarillo","Rojo"))</f>
        <v>Amarillo</v>
      </c>
    </row>
    <row r="18" spans="1:8" ht="15.6">
      <c r="A18" s="12" t="s">
        <v>21</v>
      </c>
      <c r="B18" s="12"/>
      <c r="C18" s="12"/>
      <c r="D18" s="12"/>
      <c r="E18" s="12"/>
      <c r="F18" s="12"/>
      <c r="G18" s="12"/>
      <c r="H18" s="12"/>
    </row>
    <row r="19" spans="1:8">
      <c r="A19" s="22" t="s">
        <v>22</v>
      </c>
      <c r="B19" s="22"/>
      <c r="C19" s="22"/>
      <c r="D19" s="22"/>
      <c r="E19" s="22"/>
      <c r="F19" s="22"/>
      <c r="G19" s="22"/>
      <c r="H19" s="22"/>
    </row>
    <row r="20" spans="1:8">
      <c r="A20" s="22"/>
      <c r="B20" s="22"/>
      <c r="C20" s="22"/>
      <c r="D20" s="22"/>
      <c r="E20" s="22"/>
      <c r="F20" s="22"/>
      <c r="G20" s="22"/>
      <c r="H20" s="22"/>
    </row>
    <row r="21" spans="1:8">
      <c r="A21" s="22"/>
      <c r="B21" s="22"/>
      <c r="C21" s="22"/>
      <c r="D21" s="22"/>
      <c r="E21" s="22"/>
      <c r="F21" s="22"/>
      <c r="G21" s="22"/>
      <c r="H21" s="22"/>
    </row>
    <row r="22" spans="1:8">
      <c r="A22" s="22"/>
      <c r="B22" s="22"/>
      <c r="C22" s="22"/>
      <c r="D22" s="22"/>
      <c r="E22" s="22"/>
      <c r="F22" s="22"/>
      <c r="G22" s="22"/>
      <c r="H22" s="22"/>
    </row>
  </sheetData>
  <mergeCells count="4">
    <mergeCell ref="A1:H1"/>
    <mergeCell ref="A11:D11"/>
    <mergeCell ref="A18:H18"/>
    <mergeCell ref="A19:H22"/>
  </mergeCells>
  <conditionalFormatting sqref="A8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D13:D15">
    <cfRule type="expression" dxfId="20" priority="1">
      <formula>D13="Verde"</formula>
    </cfRule>
    <cfRule type="expression" dxfId="19" priority="2">
      <formula>D13="Amarillo"</formula>
    </cfRule>
    <cfRule type="expression" dxfId="18" priority="3">
      <formula>D13="Rojo"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workbookViewId="0">
      <selection activeCell="B26" sqref="B26"/>
    </sheetView>
  </sheetViews>
  <sheetFormatPr baseColWidth="10" defaultColWidth="8.796875" defaultRowHeight="13.8"/>
  <cols>
    <col min="1" max="1" width="24" style="18" customWidth="1"/>
    <col min="2" max="2" width="34" style="18" customWidth="1"/>
    <col min="3" max="3" width="23.09765625" style="33" bestFit="1" customWidth="1"/>
    <col min="4" max="4" width="42" style="18" customWidth="1"/>
    <col min="5" max="16384" width="8.796875" style="18"/>
  </cols>
  <sheetData>
    <row r="1" spans="1:4" ht="22.35" customHeight="1">
      <c r="A1" s="11" t="s">
        <v>23</v>
      </c>
      <c r="B1" s="11"/>
      <c r="C1" s="11"/>
      <c r="D1" s="11"/>
    </row>
    <row r="3" spans="1:4">
      <c r="A3" s="1" t="s">
        <v>24</v>
      </c>
      <c r="B3" s="1" t="s">
        <v>25</v>
      </c>
      <c r="C3" s="26" t="s">
        <v>26</v>
      </c>
      <c r="D3" s="1" t="s">
        <v>27</v>
      </c>
    </row>
    <row r="4" spans="1:4">
      <c r="A4" s="20" t="s">
        <v>28</v>
      </c>
      <c r="B4" s="20" t="s">
        <v>1</v>
      </c>
      <c r="C4" s="27" t="s">
        <v>29</v>
      </c>
      <c r="D4" s="20" t="s">
        <v>30</v>
      </c>
    </row>
    <row r="5" spans="1:4">
      <c r="A5" s="20" t="s">
        <v>28</v>
      </c>
      <c r="B5" s="20" t="s">
        <v>31</v>
      </c>
      <c r="C5" s="28">
        <v>46155</v>
      </c>
      <c r="D5" s="20" t="s">
        <v>32</v>
      </c>
    </row>
    <row r="6" spans="1:4">
      <c r="A6" s="20" t="s">
        <v>28</v>
      </c>
      <c r="B6" s="20" t="s">
        <v>3</v>
      </c>
      <c r="C6" s="28" t="s">
        <v>33</v>
      </c>
      <c r="D6" s="20" t="s">
        <v>34</v>
      </c>
    </row>
    <row r="7" spans="1:4">
      <c r="A7" s="20" t="s">
        <v>35</v>
      </c>
      <c r="B7" s="20" t="s">
        <v>36</v>
      </c>
      <c r="C7" s="29">
        <v>5000000</v>
      </c>
      <c r="D7" s="20" t="s">
        <v>37</v>
      </c>
    </row>
    <row r="8" spans="1:4">
      <c r="A8" s="20" t="s">
        <v>35</v>
      </c>
      <c r="B8" s="20" t="s">
        <v>38</v>
      </c>
      <c r="C8" s="29">
        <v>3000000</v>
      </c>
      <c r="D8" s="20" t="s">
        <v>37</v>
      </c>
    </row>
    <row r="9" spans="1:4">
      <c r="A9" s="20" t="s">
        <v>35</v>
      </c>
      <c r="B9" s="20" t="s">
        <v>39</v>
      </c>
      <c r="C9" s="29">
        <v>1200000</v>
      </c>
      <c r="D9" s="20" t="s">
        <v>37</v>
      </c>
    </row>
    <row r="10" spans="1:4">
      <c r="A10" s="20" t="s">
        <v>35</v>
      </c>
      <c r="B10" s="20" t="s">
        <v>40</v>
      </c>
      <c r="C10" s="29">
        <v>250000</v>
      </c>
      <c r="D10" s="20" t="s">
        <v>37</v>
      </c>
    </row>
    <row r="11" spans="1:4">
      <c r="A11" s="20" t="s">
        <v>35</v>
      </c>
      <c r="B11" s="20" t="s">
        <v>41</v>
      </c>
      <c r="C11" s="29">
        <v>650000</v>
      </c>
      <c r="D11" s="20" t="s">
        <v>42</v>
      </c>
    </row>
    <row r="12" spans="1:4">
      <c r="A12" s="20" t="s">
        <v>35</v>
      </c>
      <c r="B12" s="20" t="s">
        <v>43</v>
      </c>
      <c r="C12" s="29">
        <v>750000</v>
      </c>
      <c r="D12" s="20" t="s">
        <v>42</v>
      </c>
    </row>
    <row r="13" spans="1:4">
      <c r="A13" s="20" t="s">
        <v>35</v>
      </c>
      <c r="B13" s="20" t="s">
        <v>44</v>
      </c>
      <c r="C13" s="29">
        <v>500000</v>
      </c>
      <c r="D13" s="20" t="s">
        <v>42</v>
      </c>
    </row>
    <row r="14" spans="1:4">
      <c r="A14" s="20" t="s">
        <v>45</v>
      </c>
      <c r="B14" s="20" t="s">
        <v>46</v>
      </c>
      <c r="C14" s="29">
        <v>400000</v>
      </c>
      <c r="D14" s="20" t="s">
        <v>47</v>
      </c>
    </row>
    <row r="15" spans="1:4">
      <c r="A15" s="20" t="s">
        <v>45</v>
      </c>
      <c r="B15" s="20" t="s">
        <v>48</v>
      </c>
      <c r="C15" s="29">
        <v>650000</v>
      </c>
      <c r="D15" s="20" t="s">
        <v>47</v>
      </c>
    </row>
    <row r="16" spans="1:4">
      <c r="A16" s="20" t="s">
        <v>45</v>
      </c>
      <c r="B16" s="20" t="s">
        <v>49</v>
      </c>
      <c r="C16" s="29">
        <v>750000</v>
      </c>
      <c r="D16" s="20" t="s">
        <v>47</v>
      </c>
    </row>
    <row r="17" spans="1:4">
      <c r="A17" s="20" t="s">
        <v>45</v>
      </c>
      <c r="B17" s="20" t="s">
        <v>50</v>
      </c>
      <c r="C17" s="29">
        <v>200000</v>
      </c>
      <c r="D17" s="20" t="s">
        <v>47</v>
      </c>
    </row>
    <row r="18" spans="1:4">
      <c r="A18" s="20" t="s">
        <v>45</v>
      </c>
      <c r="B18" s="20" t="s">
        <v>51</v>
      </c>
      <c r="C18" s="29">
        <v>1800000</v>
      </c>
      <c r="D18" s="20" t="s">
        <v>47</v>
      </c>
    </row>
    <row r="19" spans="1:4">
      <c r="A19" s="20" t="s">
        <v>45</v>
      </c>
      <c r="B19" s="20" t="s">
        <v>52</v>
      </c>
      <c r="C19" s="29">
        <v>500000</v>
      </c>
      <c r="D19" s="20" t="s">
        <v>47</v>
      </c>
    </row>
    <row r="20" spans="1:4">
      <c r="A20" s="20" t="s">
        <v>45</v>
      </c>
      <c r="B20" s="20" t="s">
        <v>53</v>
      </c>
      <c r="C20" s="29">
        <v>350000</v>
      </c>
      <c r="D20" s="20" t="s">
        <v>54</v>
      </c>
    </row>
    <row r="21" spans="1:4">
      <c r="A21" s="20" t="s">
        <v>45</v>
      </c>
      <c r="B21" s="20" t="s">
        <v>55</v>
      </c>
      <c r="C21" s="29">
        <v>900000</v>
      </c>
      <c r="D21" s="20" t="s">
        <v>54</v>
      </c>
    </row>
    <row r="22" spans="1:4">
      <c r="A22" s="20" t="s">
        <v>45</v>
      </c>
      <c r="B22" s="20" t="s">
        <v>56</v>
      </c>
      <c r="C22" s="29">
        <v>250000</v>
      </c>
      <c r="D22" s="20" t="s">
        <v>47</v>
      </c>
    </row>
    <row r="23" spans="1:4">
      <c r="A23" s="20" t="s">
        <v>45</v>
      </c>
      <c r="B23" s="20" t="s">
        <v>57</v>
      </c>
      <c r="C23" s="29">
        <v>2300000</v>
      </c>
      <c r="D23" s="20" t="s">
        <v>47</v>
      </c>
    </row>
    <row r="24" spans="1:4">
      <c r="A24" s="20" t="s">
        <v>45</v>
      </c>
      <c r="B24" s="20" t="s">
        <v>58</v>
      </c>
      <c r="C24" s="29">
        <v>600000</v>
      </c>
      <c r="D24" s="20" t="s">
        <v>47</v>
      </c>
    </row>
    <row r="25" spans="1:4" ht="27.6">
      <c r="A25" s="20" t="s">
        <v>59</v>
      </c>
      <c r="B25" s="20" t="s">
        <v>60</v>
      </c>
      <c r="C25" s="29">
        <v>8.5000000000000006E-2</v>
      </c>
      <c r="D25" s="20" t="s">
        <v>61</v>
      </c>
    </row>
    <row r="26" spans="1:4" ht="27.6">
      <c r="A26" s="20" t="s">
        <v>59</v>
      </c>
      <c r="B26" s="20" t="s">
        <v>62</v>
      </c>
      <c r="C26" s="29">
        <v>0.06</v>
      </c>
      <c r="D26" s="20" t="s">
        <v>63</v>
      </c>
    </row>
    <row r="27" spans="1:4" ht="27.6">
      <c r="A27" s="20" t="s">
        <v>59</v>
      </c>
      <c r="B27" s="20" t="s">
        <v>64</v>
      </c>
      <c r="C27" s="29">
        <v>0.95</v>
      </c>
      <c r="D27" s="20" t="s">
        <v>65</v>
      </c>
    </row>
    <row r="28" spans="1:4" ht="27.6">
      <c r="A28" s="20" t="s">
        <v>59</v>
      </c>
      <c r="B28" s="20" t="s">
        <v>66</v>
      </c>
      <c r="C28" s="29">
        <v>0.04</v>
      </c>
      <c r="D28" s="20" t="s">
        <v>67</v>
      </c>
    </row>
    <row r="29" spans="1:4" ht="27.6">
      <c r="A29" s="20" t="s">
        <v>59</v>
      </c>
      <c r="B29" s="20" t="s">
        <v>68</v>
      </c>
      <c r="C29" s="29">
        <v>4.4999999999999998E-2</v>
      </c>
      <c r="D29" s="20" t="s">
        <v>61</v>
      </c>
    </row>
    <row r="30" spans="1:4" ht="27.6">
      <c r="A30" s="20" t="s">
        <v>59</v>
      </c>
      <c r="B30" s="20" t="s">
        <v>69</v>
      </c>
      <c r="C30" s="29">
        <v>0.3</v>
      </c>
      <c r="D30" s="20" t="s">
        <v>70</v>
      </c>
    </row>
    <row r="31" spans="1:4" ht="27.6">
      <c r="A31" s="20" t="s">
        <v>59</v>
      </c>
      <c r="B31" s="20" t="s">
        <v>71</v>
      </c>
      <c r="C31" s="29">
        <v>0.14000000000000001</v>
      </c>
      <c r="D31" s="20" t="s">
        <v>72</v>
      </c>
    </row>
    <row r="32" spans="1:4" ht="27.6">
      <c r="A32" s="20" t="s">
        <v>59</v>
      </c>
      <c r="B32" s="20" t="s">
        <v>73</v>
      </c>
      <c r="C32" s="30">
        <v>0.1</v>
      </c>
      <c r="D32" s="20" t="s">
        <v>74</v>
      </c>
    </row>
    <row r="33" spans="1:4">
      <c r="A33" s="20"/>
      <c r="B33" s="20"/>
      <c r="C33" s="31"/>
      <c r="D33" s="20"/>
    </row>
    <row r="34" spans="1:4">
      <c r="A34" s="20"/>
      <c r="B34" s="20"/>
      <c r="C34" s="32"/>
      <c r="D34" s="20"/>
    </row>
    <row r="35" spans="1:4">
      <c r="A35" s="20"/>
      <c r="B35" s="20"/>
      <c r="C35" s="31"/>
      <c r="D35" s="20"/>
    </row>
    <row r="36" spans="1:4">
      <c r="A36" s="20"/>
      <c r="B36" s="20"/>
      <c r="C36" s="31"/>
      <c r="D36" s="20"/>
    </row>
    <row r="37" spans="1:4">
      <c r="A37" s="20"/>
      <c r="B37" s="20"/>
      <c r="C37" s="31"/>
      <c r="D37" s="20"/>
    </row>
    <row r="38" spans="1:4">
      <c r="A38" s="20"/>
      <c r="B38" s="20"/>
      <c r="C38" s="31"/>
      <c r="D38" s="20"/>
    </row>
    <row r="39" spans="1:4">
      <c r="A39" s="20"/>
      <c r="B39" s="20"/>
      <c r="C39" s="31"/>
      <c r="D39" s="20"/>
    </row>
    <row r="40" spans="1:4">
      <c r="A40" s="20"/>
      <c r="B40" s="20"/>
      <c r="C40" s="31"/>
      <c r="D40" s="20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"/>
  <sheetViews>
    <sheetView topLeftCell="A35" workbookViewId="0">
      <selection sqref="A1:D1"/>
    </sheetView>
  </sheetViews>
  <sheetFormatPr baseColWidth="10" defaultColWidth="8.796875" defaultRowHeight="13.8"/>
  <cols>
    <col min="1" max="1" width="34" customWidth="1"/>
    <col min="2" max="2" width="52" customWidth="1"/>
    <col min="3" max="3" width="48" customWidth="1"/>
    <col min="4" max="4" width="20" customWidth="1"/>
  </cols>
  <sheetData>
    <row r="1" spans="1:4" ht="22.35" customHeight="1">
      <c r="A1" s="13" t="s">
        <v>75</v>
      </c>
      <c r="B1" s="13"/>
      <c r="C1" s="13"/>
      <c r="D1" s="13"/>
    </row>
    <row r="3" spans="1:4">
      <c r="A3" s="1" t="s">
        <v>76</v>
      </c>
      <c r="B3" s="1" t="s">
        <v>77</v>
      </c>
      <c r="C3" s="1" t="s">
        <v>78</v>
      </c>
      <c r="D3" s="1" t="s">
        <v>13</v>
      </c>
    </row>
    <row r="4" spans="1:4" ht="15.6">
      <c r="A4" s="14" t="s">
        <v>79</v>
      </c>
      <c r="B4" s="14"/>
      <c r="C4" s="14"/>
      <c r="D4" s="15"/>
    </row>
    <row r="5" spans="1:4">
      <c r="A5" s="2" t="s">
        <v>36</v>
      </c>
      <c r="B5" s="2" t="s">
        <v>80</v>
      </c>
      <c r="C5" s="2" t="s">
        <v>81</v>
      </c>
      <c r="D5" s="3">
        <f>'02_Variables_Entrada'!C7</f>
        <v>5000000</v>
      </c>
    </row>
    <row r="6" spans="1:4">
      <c r="A6" s="2" t="s">
        <v>38</v>
      </c>
      <c r="B6" s="2" t="s">
        <v>82</v>
      </c>
      <c r="C6" s="2" t="s">
        <v>83</v>
      </c>
      <c r="D6" s="3">
        <f>'02_Variables_Entrada'!C8</f>
        <v>3000000</v>
      </c>
    </row>
    <row r="7" spans="1:4">
      <c r="A7" s="2" t="s">
        <v>39</v>
      </c>
      <c r="B7" s="2" t="s">
        <v>84</v>
      </c>
      <c r="C7" s="2" t="s">
        <v>85</v>
      </c>
      <c r="D7" s="3">
        <f>'02_Variables_Entrada'!C9</f>
        <v>1200000</v>
      </c>
    </row>
    <row r="8" spans="1:4">
      <c r="A8" s="2" t="s">
        <v>86</v>
      </c>
      <c r="B8" s="2" t="s">
        <v>87</v>
      </c>
      <c r="C8" s="2" t="s">
        <v>88</v>
      </c>
      <c r="D8" s="3">
        <f>D5-D6-D7</f>
        <v>800000</v>
      </c>
    </row>
    <row r="9" spans="1:4">
      <c r="A9" s="2" t="s">
        <v>40</v>
      </c>
      <c r="B9" s="2" t="s">
        <v>89</v>
      </c>
      <c r="C9" s="2" t="s">
        <v>90</v>
      </c>
      <c r="D9" s="3">
        <f>'02_Variables_Entrada'!C10</f>
        <v>250000</v>
      </c>
    </row>
    <row r="10" spans="1:4">
      <c r="A10" s="2" t="s">
        <v>91</v>
      </c>
      <c r="B10" s="2" t="s">
        <v>92</v>
      </c>
      <c r="C10" s="2" t="s">
        <v>93</v>
      </c>
      <c r="D10" s="3">
        <f>D8-D9</f>
        <v>550000</v>
      </c>
    </row>
    <row r="11" spans="1:4">
      <c r="A11" s="2" t="s">
        <v>94</v>
      </c>
      <c r="B11" s="2" t="s">
        <v>95</v>
      </c>
      <c r="C11" s="2" t="s">
        <v>96</v>
      </c>
      <c r="D11" s="3">
        <f>D10*'02_Variables_Entrada'!C30</f>
        <v>165000</v>
      </c>
    </row>
    <row r="12" spans="1:4">
      <c r="A12" s="2" t="s">
        <v>97</v>
      </c>
      <c r="B12" s="2" t="s">
        <v>98</v>
      </c>
      <c r="C12" s="2" t="s">
        <v>99</v>
      </c>
      <c r="D12" s="3">
        <f>D10-D11</f>
        <v>385000</v>
      </c>
    </row>
    <row r="13" spans="1:4" ht="15.6">
      <c r="A13" s="14" t="s">
        <v>100</v>
      </c>
      <c r="B13" s="14"/>
      <c r="C13" s="14"/>
      <c r="D13" s="16"/>
    </row>
    <row r="14" spans="1:4">
      <c r="A14" s="2" t="s">
        <v>101</v>
      </c>
      <c r="B14" s="2" t="s">
        <v>102</v>
      </c>
      <c r="C14" s="2" t="s">
        <v>103</v>
      </c>
      <c r="D14" s="3">
        <f>'02_Variables_Entrada'!C15+'02_Variables_Entrada'!C16+'02_Variables_Entrada'!C17</f>
        <v>1600000</v>
      </c>
    </row>
    <row r="15" spans="1:4">
      <c r="A15" s="2" t="s">
        <v>51</v>
      </c>
      <c r="B15" s="2" t="s">
        <v>104</v>
      </c>
      <c r="C15" s="2" t="s">
        <v>105</v>
      </c>
      <c r="D15" s="3">
        <f>'02_Variables_Entrada'!C18</f>
        <v>1800000</v>
      </c>
    </row>
    <row r="16" spans="1:4">
      <c r="A16" s="2" t="s">
        <v>106</v>
      </c>
      <c r="B16" s="2" t="s">
        <v>107</v>
      </c>
      <c r="C16" s="2" t="s">
        <v>108</v>
      </c>
      <c r="D16" s="3">
        <f>'02_Variables_Entrada'!C19+'02_Variables_Entrada'!C22</f>
        <v>750000</v>
      </c>
    </row>
    <row r="17" spans="1:4">
      <c r="A17" s="2" t="s">
        <v>109</v>
      </c>
      <c r="B17" s="2" t="s">
        <v>110</v>
      </c>
      <c r="C17" s="2" t="s">
        <v>111</v>
      </c>
      <c r="D17" s="3">
        <f>D14+D15-D16</f>
        <v>2650000</v>
      </c>
    </row>
    <row r="18" spans="1:4" ht="15.6">
      <c r="A18" s="14" t="s">
        <v>112</v>
      </c>
      <c r="B18" s="14"/>
      <c r="C18" s="14"/>
      <c r="D18" s="16"/>
    </row>
    <row r="19" spans="1:4">
      <c r="A19" s="2" t="s">
        <v>113</v>
      </c>
      <c r="B19" s="2" t="s">
        <v>114</v>
      </c>
      <c r="C19" s="2" t="s">
        <v>115</v>
      </c>
      <c r="D19" s="3">
        <f>'02_Variables_Entrada'!C20+'02_Variables_Entrada'!C21</f>
        <v>1250000</v>
      </c>
    </row>
    <row r="20" spans="1:4">
      <c r="A20" s="2" t="s">
        <v>57</v>
      </c>
      <c r="B20" s="2" t="s">
        <v>116</v>
      </c>
      <c r="C20" s="2" t="s">
        <v>117</v>
      </c>
      <c r="D20" s="3">
        <f>'02_Variables_Entrada'!C23</f>
        <v>2300000</v>
      </c>
    </row>
    <row r="21" spans="1:4">
      <c r="A21" s="2" t="s">
        <v>118</v>
      </c>
      <c r="B21" s="2" t="s">
        <v>119</v>
      </c>
      <c r="C21" s="2" t="s">
        <v>120</v>
      </c>
      <c r="D21" s="4">
        <f>'02_Variables_Entrada'!C31</f>
        <v>0.14000000000000001</v>
      </c>
    </row>
    <row r="22" spans="1:4">
      <c r="A22" s="2" t="s">
        <v>121</v>
      </c>
      <c r="B22" s="2" t="s">
        <v>122</v>
      </c>
      <c r="C22" s="2" t="s">
        <v>123</v>
      </c>
      <c r="D22" s="4">
        <f>D21*(1-'02_Variables_Entrada'!C30)</f>
        <v>9.8000000000000004E-2</v>
      </c>
    </row>
    <row r="23" spans="1:4">
      <c r="A23" s="2" t="s">
        <v>124</v>
      </c>
      <c r="B23" s="2" t="s">
        <v>125</v>
      </c>
      <c r="C23" s="2" t="s">
        <v>126</v>
      </c>
      <c r="D23" s="4">
        <f>'02_Variables_Entrada'!C25+('02_Variables_Entrada'!C27*'02_Variables_Entrada'!C26)+'02_Variables_Entrada'!C28</f>
        <v>0.18200000000000002</v>
      </c>
    </row>
    <row r="24" spans="1:4">
      <c r="A24" s="2" t="s">
        <v>127</v>
      </c>
      <c r="B24" s="2" t="s">
        <v>128</v>
      </c>
      <c r="C24" s="2" t="s">
        <v>129</v>
      </c>
      <c r="D24" s="4">
        <f>D19/(D19+D20)</f>
        <v>0.352112676056338</v>
      </c>
    </row>
    <row r="25" spans="1:4">
      <c r="A25" s="2" t="s">
        <v>130</v>
      </c>
      <c r="B25" s="2" t="s">
        <v>131</v>
      </c>
      <c r="C25" s="2" t="s">
        <v>129</v>
      </c>
      <c r="D25" s="4">
        <f>D20/(D19+D20)</f>
        <v>0.647887323943662</v>
      </c>
    </row>
    <row r="26" spans="1:4">
      <c r="A26" s="2" t="s">
        <v>8</v>
      </c>
      <c r="B26" s="2" t="s">
        <v>132</v>
      </c>
      <c r="C26" s="2" t="s">
        <v>133</v>
      </c>
      <c r="D26" s="4">
        <f>D24*D22+D25*D23</f>
        <v>0.15242253521126764</v>
      </c>
    </row>
    <row r="27" spans="1:4" ht="15.6">
      <c r="A27" s="14" t="s">
        <v>134</v>
      </c>
      <c r="B27" s="14"/>
      <c r="C27" s="14"/>
      <c r="D27" s="17"/>
    </row>
    <row r="28" spans="1:4">
      <c r="A28" s="2" t="s">
        <v>7</v>
      </c>
      <c r="B28" s="2" t="s">
        <v>135</v>
      </c>
      <c r="C28" s="2" t="s">
        <v>136</v>
      </c>
      <c r="D28" s="4">
        <f>D12/D17</f>
        <v>0.14528301886792452</v>
      </c>
    </row>
    <row r="29" spans="1:4">
      <c r="A29" s="2" t="s">
        <v>137</v>
      </c>
      <c r="B29" s="2" t="s">
        <v>138</v>
      </c>
      <c r="C29" s="2" t="s">
        <v>139</v>
      </c>
      <c r="D29" s="3">
        <f>D17*D26</f>
        <v>403919.71830985922</v>
      </c>
    </row>
    <row r="30" spans="1:4">
      <c r="A30" s="2" t="s">
        <v>5</v>
      </c>
      <c r="B30" s="2" t="s">
        <v>140</v>
      </c>
      <c r="C30" s="2" t="s">
        <v>141</v>
      </c>
      <c r="D30" s="3">
        <f>D12-D29</f>
        <v>-18919.718309859221</v>
      </c>
    </row>
    <row r="31" spans="1:4">
      <c r="A31" s="2" t="s">
        <v>6</v>
      </c>
      <c r="B31" s="2" t="s">
        <v>142</v>
      </c>
      <c r="C31" s="2" t="s">
        <v>143</v>
      </c>
      <c r="D31" s="3">
        <f>D30*(1+'02_Variables_Entrada'!C32)</f>
        <v>-20811.690140845145</v>
      </c>
    </row>
    <row r="32" spans="1:4">
      <c r="A32" s="2" t="s">
        <v>144</v>
      </c>
      <c r="B32" s="2" t="s">
        <v>145</v>
      </c>
      <c r="C32" s="2" t="s">
        <v>146</v>
      </c>
      <c r="D32" s="4">
        <f>D30/D5</f>
        <v>-3.7839436619718442E-3</v>
      </c>
    </row>
    <row r="33" spans="1:4" ht="15.6">
      <c r="A33" s="14" t="s">
        <v>147</v>
      </c>
      <c r="B33" s="14"/>
      <c r="C33" s="14"/>
      <c r="D33" s="15"/>
    </row>
    <row r="34" spans="1:4">
      <c r="A34" s="2" t="s">
        <v>148</v>
      </c>
      <c r="B34" s="2" t="s">
        <v>149</v>
      </c>
      <c r="C34" s="2" t="s">
        <v>150</v>
      </c>
      <c r="D34" s="3">
        <f>('02_Variables_Entrada'!C14+'02_Variables_Entrada'!C15+'02_Variables_Entrada'!C16+'02_Variables_Entrada'!C17)-('02_Variables_Entrada'!C19+'02_Variables_Entrada'!C20+'02_Variables_Entrada'!C22)</f>
        <v>900000</v>
      </c>
    </row>
    <row r="35" spans="1:4">
      <c r="A35" s="2" t="s">
        <v>151</v>
      </c>
      <c r="B35" s="2" t="s">
        <v>152</v>
      </c>
      <c r="C35" s="2" t="s">
        <v>153</v>
      </c>
      <c r="D35" s="3">
        <f>SUM('02_Variables_Entrada'!C14:C18)</f>
        <v>3800000</v>
      </c>
    </row>
    <row r="36" spans="1:4">
      <c r="A36" s="2" t="s">
        <v>154</v>
      </c>
      <c r="B36" s="2" t="s">
        <v>155</v>
      </c>
      <c r="C36" s="2" t="s">
        <v>91</v>
      </c>
      <c r="D36" s="3">
        <f>D10</f>
        <v>550000</v>
      </c>
    </row>
    <row r="37" spans="1:4">
      <c r="A37" s="2" t="s">
        <v>156</v>
      </c>
      <c r="B37" s="2" t="s">
        <v>80</v>
      </c>
      <c r="C37" s="2" t="s">
        <v>36</v>
      </c>
      <c r="D37" s="3">
        <f>D5</f>
        <v>5000000</v>
      </c>
    </row>
    <row r="38" spans="1:4">
      <c r="A38" s="2" t="s">
        <v>157</v>
      </c>
      <c r="B38" s="2" t="s">
        <v>116</v>
      </c>
      <c r="C38" s="2" t="s">
        <v>57</v>
      </c>
      <c r="D38" s="3">
        <f>D20</f>
        <v>2300000</v>
      </c>
    </row>
    <row r="39" spans="1:4">
      <c r="A39" s="2" t="s">
        <v>158</v>
      </c>
      <c r="B39" s="2" t="s">
        <v>159</v>
      </c>
      <c r="C39" s="2" t="s">
        <v>160</v>
      </c>
      <c r="D39" s="3">
        <f>'02_Variables_Entrada'!C19+'02_Variables_Entrada'!C20+'02_Variables_Entrada'!C21+'02_Variables_Entrada'!C22</f>
        <v>2000000</v>
      </c>
    </row>
    <row r="40" spans="1:4">
      <c r="A40" s="2" t="s">
        <v>161</v>
      </c>
      <c r="B40" s="2" t="s">
        <v>162</v>
      </c>
      <c r="C40" s="2" t="s">
        <v>163</v>
      </c>
      <c r="D40" s="4">
        <f>D34/D35</f>
        <v>0.23684210526315788</v>
      </c>
    </row>
    <row r="41" spans="1:4">
      <c r="A41" s="2" t="s">
        <v>164</v>
      </c>
      <c r="B41" s="2" t="s">
        <v>165</v>
      </c>
      <c r="C41" s="2" t="s">
        <v>166</v>
      </c>
      <c r="D41" s="4">
        <f>'02_Variables_Entrada'!C24/D35</f>
        <v>0.15789473684210525</v>
      </c>
    </row>
    <row r="42" spans="1:4">
      <c r="A42" s="2" t="s">
        <v>167</v>
      </c>
      <c r="B42" s="2" t="s">
        <v>168</v>
      </c>
      <c r="C42" s="2" t="s">
        <v>169</v>
      </c>
      <c r="D42" s="4">
        <f>D36/D35</f>
        <v>0.14473684210526316</v>
      </c>
    </row>
    <row r="43" spans="1:4">
      <c r="A43" s="2" t="s">
        <v>170</v>
      </c>
      <c r="B43" s="2" t="s">
        <v>171</v>
      </c>
      <c r="C43" s="2" t="s">
        <v>172</v>
      </c>
      <c r="D43" s="4">
        <f>D38/D39</f>
        <v>1.1499999999999999</v>
      </c>
    </row>
    <row r="44" spans="1:4">
      <c r="A44" s="2" t="s">
        <v>173</v>
      </c>
      <c r="B44" s="2" t="s">
        <v>174</v>
      </c>
      <c r="C44" s="2" t="s">
        <v>175</v>
      </c>
      <c r="D44" s="4">
        <f>D37/D35</f>
        <v>1.3157894736842106</v>
      </c>
    </row>
    <row r="45" spans="1:4">
      <c r="A45" s="2" t="s">
        <v>176</v>
      </c>
      <c r="B45" s="2" t="s">
        <v>177</v>
      </c>
      <c r="C45" s="2" t="s">
        <v>178</v>
      </c>
      <c r="D45" s="5">
        <f>0.717*D40+0.847*D41+3.107*D42+0.42*D43+0.998*D44</f>
        <v>2.5494078947368424</v>
      </c>
    </row>
    <row r="46" spans="1:4">
      <c r="A46" s="2" t="s">
        <v>179</v>
      </c>
      <c r="B46" s="2" t="s">
        <v>180</v>
      </c>
      <c r="C46" s="2" t="s">
        <v>181</v>
      </c>
      <c r="D46" s="3" t="str">
        <f>IF(D45&gt;2.9,"Zona segura",IF(D45&gt;=1.23,"Zona gris","Riesgo financiero"))</f>
        <v>Zona gris</v>
      </c>
    </row>
    <row r="47" spans="1:4" ht="15.6">
      <c r="A47" s="14" t="s">
        <v>182</v>
      </c>
      <c r="B47" s="14"/>
      <c r="C47" s="14"/>
      <c r="D47" s="17"/>
    </row>
    <row r="48" spans="1:4">
      <c r="A48" s="2" t="s">
        <v>183</v>
      </c>
      <c r="B48" s="2" t="s">
        <v>184</v>
      </c>
      <c r="C48" s="2" t="s">
        <v>185</v>
      </c>
      <c r="D48" s="3">
        <f>SUM('02_Variables_Entrada'!C14:C17)</f>
        <v>2000000</v>
      </c>
    </row>
    <row r="49" spans="1:4">
      <c r="A49" s="2" t="s">
        <v>186</v>
      </c>
      <c r="B49" s="2" t="s">
        <v>187</v>
      </c>
      <c r="C49" s="2" t="s">
        <v>188</v>
      </c>
      <c r="D49" s="3">
        <f>'02_Variables_Entrada'!C19+'02_Variables_Entrada'!C20+'02_Variables_Entrada'!C22</f>
        <v>1100000</v>
      </c>
    </row>
    <row r="50" spans="1:4">
      <c r="A50" s="2" t="s">
        <v>189</v>
      </c>
      <c r="B50" s="2" t="s">
        <v>190</v>
      </c>
      <c r="C50" s="2" t="s">
        <v>191</v>
      </c>
      <c r="D50" s="5">
        <f>D48/D49</f>
        <v>1.8181818181818181</v>
      </c>
    </row>
    <row r="51" spans="1:4">
      <c r="A51" s="2" t="s">
        <v>192</v>
      </c>
      <c r="B51" s="2" t="s">
        <v>193</v>
      </c>
      <c r="C51" s="2" t="s">
        <v>194</v>
      </c>
      <c r="D51" s="5">
        <f>(D48-'02_Variables_Entrada'!C16)/D49</f>
        <v>1.1363636363636365</v>
      </c>
    </row>
    <row r="52" spans="1:4">
      <c r="A52" s="2" t="s">
        <v>195</v>
      </c>
      <c r="B52" s="2" t="s">
        <v>196</v>
      </c>
      <c r="C52" s="2" t="s">
        <v>197</v>
      </c>
      <c r="D52" s="6">
        <f>'02_Variables_Entrada'!C11/D5*365</f>
        <v>47.45</v>
      </c>
    </row>
    <row r="53" spans="1:4">
      <c r="A53" s="2" t="s">
        <v>198</v>
      </c>
      <c r="B53" s="2" t="s">
        <v>199</v>
      </c>
      <c r="C53" s="2" t="s">
        <v>200</v>
      </c>
      <c r="D53" s="6">
        <f>'02_Variables_Entrada'!C12/D6*365</f>
        <v>91.25</v>
      </c>
    </row>
    <row r="54" spans="1:4">
      <c r="A54" s="2" t="s">
        <v>201</v>
      </c>
      <c r="B54" s="2" t="s">
        <v>202</v>
      </c>
      <c r="C54" s="2" t="s">
        <v>203</v>
      </c>
      <c r="D54" s="6">
        <f>'02_Variables_Entrada'!C13/D6*365</f>
        <v>60.833333333333329</v>
      </c>
    </row>
    <row r="55" spans="1:4">
      <c r="A55" s="2" t="s">
        <v>204</v>
      </c>
      <c r="B55" s="2" t="s">
        <v>205</v>
      </c>
      <c r="C55" s="2" t="s">
        <v>206</v>
      </c>
      <c r="D55" s="6">
        <f>D52+D53-D54</f>
        <v>77.86666666666666</v>
      </c>
    </row>
    <row r="56" spans="1:4">
      <c r="A56" s="2"/>
      <c r="B56" s="2"/>
      <c r="C56" s="2"/>
      <c r="D56" s="3"/>
    </row>
    <row r="57" spans="1:4">
      <c r="A57" s="2"/>
      <c r="B57" s="2"/>
      <c r="C57" s="2"/>
      <c r="D57" s="3"/>
    </row>
    <row r="58" spans="1:4">
      <c r="A58" s="2"/>
      <c r="B58" s="2"/>
      <c r="C58" s="2"/>
      <c r="D58" s="5"/>
    </row>
    <row r="59" spans="1:4">
      <c r="A59" s="2"/>
      <c r="B59" s="2"/>
      <c r="C59" s="2"/>
      <c r="D59" s="5"/>
    </row>
    <row r="60" spans="1:4">
      <c r="A60" s="2"/>
      <c r="B60" s="2"/>
      <c r="C60" s="2"/>
      <c r="D60" s="6"/>
    </row>
    <row r="61" spans="1:4">
      <c r="A61" s="2"/>
      <c r="B61" s="2"/>
      <c r="C61" s="2"/>
      <c r="D61" s="6"/>
    </row>
    <row r="62" spans="1:4">
      <c r="A62" s="2"/>
      <c r="B62" s="2"/>
      <c r="C62" s="2"/>
      <c r="D62" s="6"/>
    </row>
    <row r="63" spans="1:4">
      <c r="A63" s="2"/>
      <c r="B63" s="2"/>
      <c r="C63" s="2"/>
      <c r="D63" s="6"/>
    </row>
  </sheetData>
  <mergeCells count="7">
    <mergeCell ref="A33:D33"/>
    <mergeCell ref="A47:D47"/>
    <mergeCell ref="A1:D1"/>
    <mergeCell ref="A4:D4"/>
    <mergeCell ref="A13:D13"/>
    <mergeCell ref="A18:D18"/>
    <mergeCell ref="A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C5" sqref="C5"/>
    </sheetView>
  </sheetViews>
  <sheetFormatPr baseColWidth="10" defaultColWidth="8.796875" defaultRowHeight="13.8"/>
  <cols>
    <col min="1" max="1" width="18" style="18" customWidth="1"/>
    <col min="2" max="2" width="18" style="25" customWidth="1"/>
    <col min="3" max="3" width="34" style="18" customWidth="1"/>
    <col min="4" max="4" width="66" style="18" customWidth="1"/>
    <col min="5" max="5" width="34" style="18" customWidth="1"/>
    <col min="6" max="16384" width="8.796875" style="18"/>
  </cols>
  <sheetData>
    <row r="1" spans="1:5" ht="22.35" customHeight="1">
      <c r="A1" s="11" t="s">
        <v>207</v>
      </c>
      <c r="B1" s="11"/>
      <c r="C1" s="11"/>
      <c r="D1" s="11"/>
      <c r="E1" s="11"/>
    </row>
    <row r="3" spans="1:5">
      <c r="A3" s="1" t="s">
        <v>11</v>
      </c>
      <c r="B3" s="1" t="s">
        <v>208</v>
      </c>
      <c r="C3" s="1" t="s">
        <v>209</v>
      </c>
      <c r="D3" s="1" t="s">
        <v>210</v>
      </c>
      <c r="E3" s="1" t="s">
        <v>211</v>
      </c>
    </row>
    <row r="4" spans="1:5" ht="41.4">
      <c r="A4" s="20" t="s">
        <v>15</v>
      </c>
      <c r="B4" s="34" t="s">
        <v>212</v>
      </c>
      <c r="C4" s="20" t="s">
        <v>213</v>
      </c>
      <c r="D4" s="20" t="s">
        <v>214</v>
      </c>
      <c r="E4" s="20" t="s">
        <v>215</v>
      </c>
    </row>
    <row r="5" spans="1:5" ht="27.6">
      <c r="A5" s="20" t="s">
        <v>15</v>
      </c>
      <c r="B5" s="34" t="s">
        <v>216</v>
      </c>
      <c r="C5" s="20" t="s">
        <v>217</v>
      </c>
      <c r="D5" s="20" t="s">
        <v>218</v>
      </c>
      <c r="E5" s="20" t="s">
        <v>219</v>
      </c>
    </row>
    <row r="6" spans="1:5" ht="27.6">
      <c r="A6" s="20" t="s">
        <v>17</v>
      </c>
      <c r="B6" s="34" t="s">
        <v>212</v>
      </c>
      <c r="C6" s="20" t="s">
        <v>220</v>
      </c>
      <c r="D6" s="20" t="s">
        <v>221</v>
      </c>
      <c r="E6" s="20" t="s">
        <v>222</v>
      </c>
    </row>
    <row r="7" spans="1:5" ht="41.4">
      <c r="A7" s="20" t="s">
        <v>17</v>
      </c>
      <c r="B7" s="34" t="s">
        <v>216</v>
      </c>
      <c r="C7" s="20" t="s">
        <v>223</v>
      </c>
      <c r="D7" s="20" t="s">
        <v>224</v>
      </c>
      <c r="E7" s="20" t="s">
        <v>225</v>
      </c>
    </row>
    <row r="8" spans="1:5" ht="27.6">
      <c r="A8" s="20" t="s">
        <v>19</v>
      </c>
      <c r="B8" s="34" t="s">
        <v>212</v>
      </c>
      <c r="C8" s="20" t="s">
        <v>226</v>
      </c>
      <c r="D8" s="20" t="s">
        <v>227</v>
      </c>
      <c r="E8" s="20" t="s">
        <v>228</v>
      </c>
    </row>
    <row r="9" spans="1:5" ht="27.6">
      <c r="A9" s="20" t="s">
        <v>19</v>
      </c>
      <c r="B9" s="34" t="s">
        <v>216</v>
      </c>
      <c r="C9" s="20" t="s">
        <v>229</v>
      </c>
      <c r="D9" s="20" t="s">
        <v>230</v>
      </c>
      <c r="E9" s="20" t="s">
        <v>231</v>
      </c>
    </row>
    <row r="10" spans="1:5" ht="27.6">
      <c r="A10" s="20" t="s">
        <v>15</v>
      </c>
      <c r="B10" s="34" t="s">
        <v>232</v>
      </c>
      <c r="C10" s="20" t="s">
        <v>233</v>
      </c>
      <c r="D10" s="20" t="s">
        <v>234</v>
      </c>
      <c r="E10" s="20" t="s">
        <v>235</v>
      </c>
    </row>
    <row r="11" spans="1:5" ht="27.6">
      <c r="A11" s="20" t="s">
        <v>17</v>
      </c>
      <c r="B11" s="34" t="s">
        <v>232</v>
      </c>
      <c r="C11" s="20" t="s">
        <v>236</v>
      </c>
      <c r="D11" s="20" t="s">
        <v>237</v>
      </c>
      <c r="E11" s="20" t="s">
        <v>238</v>
      </c>
    </row>
  </sheetData>
  <mergeCells count="1">
    <mergeCell ref="A1:E1"/>
  </mergeCells>
  <conditionalFormatting sqref="B4:B50">
    <cfRule type="expression" dxfId="17" priority="1">
      <formula>B4="Alta"</formula>
    </cfRule>
    <cfRule type="expression" dxfId="16" priority="2">
      <formula>B4="Media"</formula>
    </cfRule>
    <cfRule type="expression" dxfId="15" priority="3">
      <formula>B4="Baja"</formula>
    </cfRule>
  </conditionalFormatting>
  <dataValidations count="2">
    <dataValidation type="list" sqref="A4:A50" xr:uid="{00000000-0002-0000-0300-000000000000}">
      <formula1>"Rentabilidad,Liquidez,Estructura"</formula1>
    </dataValidation>
    <dataValidation type="list" sqref="B4:B50" xr:uid="{00000000-0002-0000-0300-000001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01_Resumen_Ejecutivo</vt:lpstr>
      <vt:lpstr>02_Variables_Entrada</vt:lpstr>
      <vt:lpstr>03_Motor_Calculos</vt:lpstr>
      <vt:lpstr>04_Plan_Accion_Estrategias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Diego20 Mora</cp:lastModifiedBy>
  <dcterms:modified xsi:type="dcterms:W3CDTF">2026-05-13T18:28:46Z</dcterms:modified>
</cp:coreProperties>
</file>